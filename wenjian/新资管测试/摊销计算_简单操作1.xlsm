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480" yWindow="330" windowWidth="14880" windowHeight="7545"/>
  </bookViews>
  <sheets>
    <sheet name="Sheet1" sheetId="1" r:id="rId1"/>
    <sheet name="Sheet3" sheetId="3" r:id="rId2"/>
    <sheet name="Sheet2" sheetId="4" r:id="rId3"/>
  </sheets>
  <calcPr calcId="162913"/>
</workbook>
</file>

<file path=xl/calcChain.xml><?xml version="1.0" encoding="utf-8"?>
<calcChain xmlns="http://schemas.openxmlformats.org/spreadsheetml/2006/main">
  <c r="N15" i="1" l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J16" i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I16" i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J15" i="1"/>
  <c r="I15" i="1"/>
  <c r="I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14" i="1"/>
  <c r="K14" i="1"/>
  <c r="J14" i="1"/>
  <c r="L14" i="1"/>
  <c r="N14" i="1" s="1"/>
  <c r="G7" i="1"/>
  <c r="E7" i="1"/>
  <c r="D14" i="1"/>
  <c r="E14" i="1" s="1"/>
  <c r="F14" i="1" s="1"/>
  <c r="B15" i="1" s="1"/>
  <c r="B14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A14" i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M14" i="1" l="1"/>
  <c r="D15" i="1"/>
  <c r="E15" i="1" s="1"/>
  <c r="F15" i="1" s="1"/>
  <c r="B16" i="1" s="1"/>
  <c r="E8" i="1"/>
  <c r="B6" i="1"/>
  <c r="G6" i="1" s="1"/>
  <c r="L20" i="3"/>
  <c r="L23" i="3" s="1"/>
  <c r="E22" i="3"/>
  <c r="D16" i="1" l="1"/>
  <c r="E16" i="1" s="1"/>
  <c r="F16" i="1" s="1"/>
  <c r="B17" i="1" s="1"/>
  <c r="E5" i="1"/>
  <c r="D17" i="1" l="1"/>
  <c r="E17" i="1" s="1"/>
  <c r="F17" i="1" s="1"/>
  <c r="B18" i="1" s="1"/>
  <c r="D18" i="1" l="1"/>
  <c r="E18" i="1" s="1"/>
  <c r="F18" i="1" s="1"/>
  <c r="B19" i="1" s="1"/>
  <c r="D19" i="1" l="1"/>
  <c r="E19" i="1" s="1"/>
  <c r="F19" i="1" s="1"/>
  <c r="B20" i="1" s="1"/>
  <c r="D20" i="1" l="1"/>
  <c r="E20" i="1" s="1"/>
  <c r="F20" i="1" s="1"/>
  <c r="B21" i="1" s="1"/>
  <c r="D21" i="1" l="1"/>
  <c r="E21" i="1" s="1"/>
  <c r="F21" i="1" s="1"/>
  <c r="B22" i="1" s="1"/>
  <c r="D22" i="1" l="1"/>
  <c r="E22" i="1" s="1"/>
  <c r="F22" i="1" s="1"/>
  <c r="B23" i="1" s="1"/>
  <c r="D23" i="1" l="1"/>
  <c r="E23" i="1" s="1"/>
  <c r="F23" i="1" l="1"/>
  <c r="B24" i="1" s="1"/>
  <c r="D24" i="1" l="1"/>
  <c r="E24" i="1" s="1"/>
  <c r="F24" i="1" s="1"/>
  <c r="B25" i="1" s="1"/>
  <c r="D25" i="1" l="1"/>
  <c r="E25" i="1" s="1"/>
  <c r="F25" i="1" s="1"/>
  <c r="B26" i="1" s="1"/>
  <c r="D26" i="1" l="1"/>
  <c r="E26" i="1" s="1"/>
  <c r="F26" i="1" s="1"/>
  <c r="B27" i="1" s="1"/>
  <c r="D27" i="1" l="1"/>
  <c r="E27" i="1" s="1"/>
  <c r="F27" i="1" s="1"/>
  <c r="B28" i="1" s="1"/>
  <c r="D28" i="1" l="1"/>
  <c r="E28" i="1" s="1"/>
  <c r="F28" i="1" s="1"/>
  <c r="B29" i="1" s="1"/>
  <c r="D29" i="1" l="1"/>
  <c r="E29" i="1" s="1"/>
  <c r="F29" i="1" s="1"/>
  <c r="B30" i="1" s="1"/>
  <c r="D30" i="1" l="1"/>
  <c r="E30" i="1" s="1"/>
  <c r="F30" i="1" s="1"/>
  <c r="B31" i="1" s="1"/>
  <c r="D31" i="1" l="1"/>
  <c r="E31" i="1" s="1"/>
  <c r="F31" i="1" s="1"/>
  <c r="B32" i="1" s="1"/>
  <c r="D32" i="1" l="1"/>
  <c r="E32" i="1" s="1"/>
  <c r="F32" i="1" s="1"/>
  <c r="B33" i="1" s="1"/>
  <c r="D33" i="1" l="1"/>
  <c r="E33" i="1" s="1"/>
  <c r="F33" i="1" s="1"/>
  <c r="B34" i="1" s="1"/>
  <c r="D34" i="1" l="1"/>
  <c r="E34" i="1" s="1"/>
  <c r="F34" i="1" s="1"/>
  <c r="B35" i="1" s="1"/>
  <c r="D35" i="1" l="1"/>
  <c r="E35" i="1" s="1"/>
  <c r="F35" i="1" s="1"/>
  <c r="B36" i="1" s="1"/>
  <c r="D36" i="1" l="1"/>
  <c r="E36" i="1" s="1"/>
  <c r="F36" i="1" s="1"/>
  <c r="B37" i="1" s="1"/>
  <c r="D37" i="1" l="1"/>
  <c r="E37" i="1" s="1"/>
  <c r="F37" i="1" s="1"/>
  <c r="B38" i="1" s="1"/>
  <c r="D38" i="1" l="1"/>
  <c r="E38" i="1" s="1"/>
  <c r="F38" i="1" s="1"/>
  <c r="B39" i="1" s="1"/>
  <c r="D39" i="1" l="1"/>
  <c r="E39" i="1" s="1"/>
  <c r="F39" i="1" s="1"/>
  <c r="B40" i="1" s="1"/>
  <c r="D40" i="1" l="1"/>
  <c r="E40" i="1" s="1"/>
  <c r="F40" i="1" s="1"/>
  <c r="B41" i="1" s="1"/>
  <c r="D41" i="1" l="1"/>
  <c r="E41" i="1" s="1"/>
  <c r="F41" i="1" s="1"/>
  <c r="B42" i="1" s="1"/>
  <c r="D42" i="1" l="1"/>
  <c r="E42" i="1" s="1"/>
  <c r="F42" i="1" s="1"/>
  <c r="B43" i="1" s="1"/>
  <c r="D43" i="1" l="1"/>
  <c r="E43" i="1" s="1"/>
  <c r="F43" i="1" s="1"/>
  <c r="B44" i="1" s="1"/>
  <c r="D44" i="1" l="1"/>
  <c r="E44" i="1" s="1"/>
  <c r="F44" i="1" s="1"/>
  <c r="B45" i="1" s="1"/>
  <c r="D45" i="1" l="1"/>
  <c r="E45" i="1" s="1"/>
  <c r="F45" i="1" s="1"/>
  <c r="B46" i="1" s="1"/>
  <c r="D46" i="1" l="1"/>
  <c r="E46" i="1" s="1"/>
  <c r="F46" i="1" s="1"/>
  <c r="B47" i="1" s="1"/>
  <c r="D47" i="1" l="1"/>
  <c r="E47" i="1" s="1"/>
  <c r="F47" i="1" s="1"/>
  <c r="B48" i="1" s="1"/>
  <c r="D48" i="1" l="1"/>
  <c r="E48" i="1" s="1"/>
  <c r="F48" i="1" s="1"/>
  <c r="B49" i="1" s="1"/>
  <c r="D49" i="1" l="1"/>
  <c r="E49" i="1" s="1"/>
  <c r="F49" i="1" s="1"/>
  <c r="B50" i="1" s="1"/>
  <c r="D50" i="1" l="1"/>
  <c r="E50" i="1" s="1"/>
  <c r="F50" i="1" s="1"/>
  <c r="B51" i="1" s="1"/>
  <c r="D51" i="1" s="1"/>
  <c r="E51" i="1" s="1"/>
  <c r="F51" i="1" s="1"/>
  <c r="B52" i="1" s="1"/>
  <c r="D52" i="1" l="1"/>
  <c r="E52" i="1" s="1"/>
  <c r="F52" i="1" s="1"/>
  <c r="B53" i="1" s="1"/>
  <c r="D53" i="1" l="1"/>
  <c r="E53" i="1" s="1"/>
  <c r="F53" i="1" s="1"/>
  <c r="B54" i="1" s="1"/>
  <c r="D54" i="1" l="1"/>
  <c r="E54" i="1" s="1"/>
  <c r="F54" i="1" s="1"/>
  <c r="B55" i="1" s="1"/>
  <c r="D55" i="1" l="1"/>
  <c r="E55" i="1" s="1"/>
  <c r="F55" i="1" s="1"/>
  <c r="B56" i="1" s="1"/>
  <c r="D56" i="1" l="1"/>
  <c r="E56" i="1" s="1"/>
  <c r="F56" i="1" s="1"/>
  <c r="B57" i="1" s="1"/>
  <c r="D57" i="1" l="1"/>
  <c r="E57" i="1" s="1"/>
  <c r="F57" i="1" s="1"/>
  <c r="B58" i="1" s="1"/>
  <c r="D58" i="1" l="1"/>
  <c r="E58" i="1" s="1"/>
  <c r="F58" i="1" s="1"/>
  <c r="B59" i="1" s="1"/>
  <c r="D59" i="1" l="1"/>
  <c r="E59" i="1" s="1"/>
  <c r="F59" i="1" s="1"/>
  <c r="B60" i="1" s="1"/>
  <c r="D60" i="1" l="1"/>
  <c r="E60" i="1" s="1"/>
  <c r="F60" i="1" s="1"/>
  <c r="B61" i="1" s="1"/>
  <c r="D61" i="1" l="1"/>
  <c r="E61" i="1" s="1"/>
  <c r="F61" i="1" s="1"/>
  <c r="B62" i="1" s="1"/>
  <c r="D62" i="1" l="1"/>
  <c r="E62" i="1" s="1"/>
  <c r="F62" i="1" s="1"/>
  <c r="B63" i="1" s="1"/>
  <c r="D63" i="1" l="1"/>
  <c r="E63" i="1" s="1"/>
  <c r="F63" i="1" s="1"/>
  <c r="B64" i="1" s="1"/>
  <c r="D64" i="1" l="1"/>
  <c r="E64" i="1" s="1"/>
  <c r="F64" i="1" s="1"/>
  <c r="B65" i="1" s="1"/>
  <c r="D65" i="1" l="1"/>
  <c r="E65" i="1" s="1"/>
  <c r="F65" i="1" s="1"/>
  <c r="B66" i="1" s="1"/>
  <c r="D66" i="1" l="1"/>
  <c r="E66" i="1" s="1"/>
  <c r="F66" i="1" s="1"/>
  <c r="B67" i="1" s="1"/>
  <c r="D67" i="1" l="1"/>
  <c r="E67" i="1" s="1"/>
  <c r="F67" i="1" s="1"/>
  <c r="B68" i="1" s="1"/>
  <c r="D68" i="1" l="1"/>
  <c r="E68" i="1" s="1"/>
  <c r="F68" i="1" s="1"/>
  <c r="B69" i="1" s="1"/>
  <c r="D69" i="1" l="1"/>
  <c r="E69" i="1" s="1"/>
  <c r="F69" i="1" s="1"/>
  <c r="B70" i="1" s="1"/>
  <c r="D70" i="1" l="1"/>
  <c r="E70" i="1" s="1"/>
  <c r="F70" i="1" s="1"/>
  <c r="B71" i="1" s="1"/>
  <c r="D71" i="1" l="1"/>
  <c r="E71" i="1" s="1"/>
  <c r="F71" i="1" s="1"/>
  <c r="B72" i="1" s="1"/>
  <c r="D72" i="1" l="1"/>
  <c r="E72" i="1" s="1"/>
  <c r="F72" i="1" s="1"/>
  <c r="B73" i="1" s="1"/>
  <c r="D73" i="1" l="1"/>
  <c r="E73" i="1" s="1"/>
  <c r="F73" i="1" s="1"/>
  <c r="B74" i="1" s="1"/>
  <c r="D74" i="1" l="1"/>
  <c r="E74" i="1" s="1"/>
  <c r="F74" i="1" s="1"/>
  <c r="B75" i="1" s="1"/>
  <c r="D75" i="1" l="1"/>
  <c r="E75" i="1" s="1"/>
  <c r="F75" i="1" s="1"/>
  <c r="B76" i="1" s="1"/>
  <c r="D76" i="1" l="1"/>
  <c r="E76" i="1" s="1"/>
  <c r="F76" i="1" s="1"/>
  <c r="B77" i="1" s="1"/>
  <c r="D77" i="1" l="1"/>
  <c r="E77" i="1" s="1"/>
  <c r="F77" i="1" s="1"/>
  <c r="B78" i="1" s="1"/>
  <c r="D78" i="1" l="1"/>
  <c r="E78" i="1" s="1"/>
  <c r="F78" i="1" s="1"/>
  <c r="B79" i="1" s="1"/>
  <c r="D79" i="1" l="1"/>
  <c r="E79" i="1" s="1"/>
  <c r="F79" i="1" s="1"/>
  <c r="B80" i="1" s="1"/>
  <c r="D80" i="1" l="1"/>
  <c r="E80" i="1" s="1"/>
  <c r="F80" i="1" s="1"/>
  <c r="B81" i="1" s="1"/>
  <c r="D81" i="1" l="1"/>
  <c r="E81" i="1" s="1"/>
  <c r="F81" i="1" s="1"/>
  <c r="B82" i="1" s="1"/>
  <c r="D82" i="1" l="1"/>
  <c r="E82" i="1" s="1"/>
  <c r="F82" i="1" s="1"/>
  <c r="B83" i="1" s="1"/>
  <c r="D83" i="1" l="1"/>
  <c r="E83" i="1" s="1"/>
  <c r="F83" i="1" s="1"/>
  <c r="B84" i="1" s="1"/>
  <c r="D84" i="1" l="1"/>
  <c r="E84" i="1" s="1"/>
  <c r="F84" i="1" s="1"/>
  <c r="B85" i="1" s="1"/>
  <c r="D85" i="1" l="1"/>
  <c r="E85" i="1" s="1"/>
  <c r="F85" i="1" s="1"/>
  <c r="B86" i="1" s="1"/>
  <c r="D86" i="1" l="1"/>
  <c r="E86" i="1" s="1"/>
  <c r="F86" i="1" s="1"/>
  <c r="B87" i="1" s="1"/>
  <c r="D87" i="1" l="1"/>
  <c r="E87" i="1" s="1"/>
  <c r="F87" i="1" s="1"/>
  <c r="B88" i="1" s="1"/>
  <c r="D88" i="1" l="1"/>
  <c r="E88" i="1" s="1"/>
  <c r="F88" i="1" s="1"/>
  <c r="B89" i="1" s="1"/>
  <c r="D89" i="1" l="1"/>
  <c r="E89" i="1" s="1"/>
  <c r="F89" i="1" s="1"/>
  <c r="B90" i="1" s="1"/>
  <c r="D90" i="1" l="1"/>
  <c r="E90" i="1" s="1"/>
  <c r="F90" i="1" s="1"/>
  <c r="B91" i="1" s="1"/>
  <c r="D91" i="1" l="1"/>
  <c r="E91" i="1" s="1"/>
  <c r="F91" i="1" s="1"/>
  <c r="B92" i="1" s="1"/>
  <c r="D92" i="1" l="1"/>
  <c r="E92" i="1" s="1"/>
  <c r="F92" i="1" s="1"/>
  <c r="B93" i="1" s="1"/>
  <c r="D93" i="1" l="1"/>
  <c r="E93" i="1" s="1"/>
  <c r="F93" i="1" s="1"/>
  <c r="B94" i="1" s="1"/>
  <c r="D94" i="1" l="1"/>
  <c r="E94" i="1" s="1"/>
  <c r="F94" i="1" s="1"/>
  <c r="B95" i="1" s="1"/>
  <c r="D95" i="1" l="1"/>
  <c r="E95" i="1" s="1"/>
  <c r="F95" i="1" s="1"/>
  <c r="B96" i="1" s="1"/>
  <c r="D96" i="1" s="1"/>
  <c r="E96" i="1" s="1"/>
  <c r="F96" i="1" s="1"/>
  <c r="B97" i="1" s="1"/>
  <c r="D97" i="1" l="1"/>
  <c r="E97" i="1" s="1"/>
  <c r="F97" i="1" s="1"/>
  <c r="B98" i="1" s="1"/>
  <c r="D98" i="1" l="1"/>
  <c r="E98" i="1" s="1"/>
  <c r="F98" i="1" s="1"/>
  <c r="B99" i="1" s="1"/>
  <c r="D99" i="1" l="1"/>
  <c r="E99" i="1" s="1"/>
  <c r="F99" i="1" s="1"/>
  <c r="B100" i="1" s="1"/>
  <c r="D100" i="1" l="1"/>
  <c r="E100" i="1" s="1"/>
  <c r="F100" i="1" s="1"/>
  <c r="B101" i="1" s="1"/>
  <c r="D101" i="1" l="1"/>
  <c r="E101" i="1" s="1"/>
  <c r="F101" i="1" s="1"/>
  <c r="B102" i="1" s="1"/>
  <c r="D102" i="1" l="1"/>
  <c r="E102" i="1" s="1"/>
  <c r="F102" i="1" s="1"/>
  <c r="B103" i="1" s="1"/>
  <c r="D103" i="1" l="1"/>
  <c r="E103" i="1" s="1"/>
  <c r="F103" i="1" s="1"/>
  <c r="B104" i="1" s="1"/>
  <c r="D104" i="1" s="1"/>
  <c r="E104" i="1" s="1"/>
  <c r="F104" i="1" s="1"/>
  <c r="B105" i="1" s="1"/>
  <c r="D105" i="1" l="1"/>
  <c r="E105" i="1" s="1"/>
  <c r="F105" i="1" s="1"/>
  <c r="B106" i="1" s="1"/>
  <c r="D106" i="1" l="1"/>
  <c r="E106" i="1" s="1"/>
  <c r="F106" i="1" s="1"/>
  <c r="B107" i="1" s="1"/>
  <c r="D107" i="1" l="1"/>
  <c r="E107" i="1" s="1"/>
  <c r="F107" i="1" s="1"/>
  <c r="B108" i="1" s="1"/>
  <c r="D108" i="1" l="1"/>
  <c r="E108" i="1" s="1"/>
  <c r="F108" i="1" s="1"/>
  <c r="B109" i="1" s="1"/>
  <c r="D109" i="1" l="1"/>
  <c r="E109" i="1" s="1"/>
  <c r="F109" i="1" s="1"/>
  <c r="B110" i="1" s="1"/>
  <c r="D110" i="1" l="1"/>
  <c r="E110" i="1" s="1"/>
  <c r="F110" i="1" s="1"/>
  <c r="B111" i="1" s="1"/>
  <c r="D111" i="1" l="1"/>
  <c r="E111" i="1" s="1"/>
  <c r="F111" i="1" s="1"/>
  <c r="B112" i="1" s="1"/>
  <c r="D112" i="1" l="1"/>
  <c r="E112" i="1" s="1"/>
  <c r="F112" i="1" s="1"/>
  <c r="B113" i="1" s="1"/>
  <c r="D113" i="1" l="1"/>
  <c r="E113" i="1" s="1"/>
  <c r="F113" i="1" s="1"/>
  <c r="B114" i="1" s="1"/>
  <c r="D114" i="1" l="1"/>
  <c r="E114" i="1" s="1"/>
  <c r="F114" i="1" s="1"/>
  <c r="B115" i="1" s="1"/>
  <c r="D115" i="1" l="1"/>
  <c r="E115" i="1" s="1"/>
  <c r="F115" i="1" s="1"/>
  <c r="B116" i="1" s="1"/>
  <c r="D116" i="1" l="1"/>
  <c r="E116" i="1" s="1"/>
  <c r="F116" i="1" s="1"/>
  <c r="B117" i="1" s="1"/>
  <c r="D117" i="1" l="1"/>
  <c r="E117" i="1" s="1"/>
  <c r="F117" i="1" s="1"/>
  <c r="B118" i="1" s="1"/>
  <c r="D118" i="1" l="1"/>
  <c r="E118" i="1" s="1"/>
  <c r="F118" i="1" s="1"/>
  <c r="B119" i="1" s="1"/>
  <c r="D119" i="1" l="1"/>
  <c r="E119" i="1" s="1"/>
  <c r="F119" i="1" s="1"/>
  <c r="B120" i="1" s="1"/>
  <c r="D120" i="1" l="1"/>
  <c r="E120" i="1" s="1"/>
  <c r="F120" i="1" s="1"/>
  <c r="B121" i="1" s="1"/>
  <c r="D121" i="1" l="1"/>
  <c r="E121" i="1" s="1"/>
  <c r="F121" i="1" s="1"/>
  <c r="B122" i="1" s="1"/>
  <c r="D122" i="1" l="1"/>
  <c r="E122" i="1" s="1"/>
  <c r="F122" i="1" s="1"/>
  <c r="B123" i="1" s="1"/>
  <c r="D123" i="1" l="1"/>
  <c r="E123" i="1" s="1"/>
  <c r="F123" i="1" s="1"/>
  <c r="B124" i="1" s="1"/>
  <c r="D124" i="1" l="1"/>
  <c r="E124" i="1" s="1"/>
  <c r="F124" i="1" s="1"/>
  <c r="B125" i="1" s="1"/>
  <c r="D125" i="1" l="1"/>
  <c r="E125" i="1" s="1"/>
  <c r="F125" i="1" s="1"/>
  <c r="B126" i="1" s="1"/>
  <c r="D126" i="1" l="1"/>
  <c r="E126" i="1" s="1"/>
  <c r="F126" i="1" s="1"/>
  <c r="B127" i="1" s="1"/>
  <c r="D127" i="1" l="1"/>
  <c r="E127" i="1" s="1"/>
  <c r="F127" i="1" s="1"/>
  <c r="B128" i="1" s="1"/>
  <c r="D128" i="1" l="1"/>
  <c r="E128" i="1" s="1"/>
  <c r="F128" i="1" s="1"/>
  <c r="B129" i="1" s="1"/>
  <c r="D129" i="1" l="1"/>
  <c r="E129" i="1" s="1"/>
  <c r="F129" i="1" s="1"/>
  <c r="B130" i="1" s="1"/>
  <c r="D130" i="1" l="1"/>
  <c r="E130" i="1" s="1"/>
  <c r="F130" i="1" s="1"/>
  <c r="B131" i="1" s="1"/>
  <c r="D131" i="1" l="1"/>
  <c r="E131" i="1" s="1"/>
  <c r="F131" i="1" s="1"/>
  <c r="B132" i="1" s="1"/>
  <c r="D132" i="1" l="1"/>
  <c r="E132" i="1" s="1"/>
  <c r="F132" i="1" s="1"/>
  <c r="B133" i="1" s="1"/>
  <c r="D133" i="1" l="1"/>
  <c r="E133" i="1" s="1"/>
  <c r="F133" i="1" s="1"/>
  <c r="B134" i="1" s="1"/>
  <c r="D134" i="1" l="1"/>
  <c r="E134" i="1" s="1"/>
  <c r="F134" i="1" s="1"/>
  <c r="B135" i="1" l="1"/>
  <c r="J11" i="1"/>
  <c r="D135" i="1" l="1"/>
  <c r="E135" i="1" s="1"/>
  <c r="F135" i="1" s="1"/>
  <c r="B136" i="1" s="1"/>
  <c r="D136" i="1" l="1"/>
  <c r="E136" i="1" s="1"/>
  <c r="F136" i="1" s="1"/>
  <c r="B137" i="1" s="1"/>
  <c r="D137" i="1" l="1"/>
  <c r="E137" i="1" s="1"/>
  <c r="F137" i="1" s="1"/>
  <c r="B138" i="1" s="1"/>
  <c r="D138" i="1" l="1"/>
  <c r="E138" i="1" s="1"/>
  <c r="F138" i="1" s="1"/>
  <c r="B139" i="1" s="1"/>
  <c r="D139" i="1" l="1"/>
  <c r="E139" i="1" s="1"/>
  <c r="F139" i="1" s="1"/>
  <c r="B140" i="1" s="1"/>
  <c r="D140" i="1" l="1"/>
  <c r="E140" i="1" s="1"/>
  <c r="F140" i="1" s="1"/>
  <c r="B141" i="1" s="1"/>
  <c r="D141" i="1" l="1"/>
  <c r="E141" i="1" s="1"/>
  <c r="F141" i="1" s="1"/>
  <c r="B142" i="1" s="1"/>
  <c r="D142" i="1" l="1"/>
  <c r="E142" i="1" s="1"/>
  <c r="F142" i="1" s="1"/>
  <c r="B143" i="1" s="1"/>
  <c r="D143" i="1" l="1"/>
  <c r="E143" i="1" s="1"/>
  <c r="F143" i="1" s="1"/>
  <c r="B144" i="1" s="1"/>
  <c r="D144" i="1" l="1"/>
  <c r="E144" i="1" s="1"/>
  <c r="F144" i="1" s="1"/>
  <c r="B145" i="1" s="1"/>
  <c r="D145" i="1" l="1"/>
  <c r="E145" i="1" s="1"/>
  <c r="F145" i="1" s="1"/>
  <c r="B146" i="1" s="1"/>
  <c r="D146" i="1" l="1"/>
  <c r="E146" i="1" s="1"/>
  <c r="F146" i="1" s="1"/>
  <c r="B147" i="1" s="1"/>
  <c r="D147" i="1" l="1"/>
  <c r="E147" i="1" s="1"/>
  <c r="F147" i="1" s="1"/>
  <c r="B148" i="1" s="1"/>
  <c r="D148" i="1" l="1"/>
  <c r="E148" i="1" s="1"/>
  <c r="F148" i="1" s="1"/>
  <c r="B149" i="1" s="1"/>
  <c r="D149" i="1" l="1"/>
  <c r="E149" i="1" s="1"/>
  <c r="F149" i="1" s="1"/>
  <c r="B150" i="1" s="1"/>
  <c r="D150" i="1" l="1"/>
  <c r="E150" i="1" s="1"/>
  <c r="F150" i="1" s="1"/>
  <c r="B151" i="1" s="1"/>
  <c r="D151" i="1" l="1"/>
  <c r="E151" i="1" s="1"/>
  <c r="F151" i="1" s="1"/>
  <c r="B152" i="1" s="1"/>
  <c r="D152" i="1" l="1"/>
  <c r="E152" i="1" s="1"/>
  <c r="F152" i="1" s="1"/>
  <c r="B153" i="1" s="1"/>
  <c r="D153" i="1" l="1"/>
  <c r="E153" i="1" s="1"/>
  <c r="F153" i="1" s="1"/>
  <c r="B154" i="1" s="1"/>
  <c r="D154" i="1" l="1"/>
  <c r="E154" i="1" s="1"/>
  <c r="F154" i="1" s="1"/>
  <c r="B155" i="1" s="1"/>
  <c r="D155" i="1" l="1"/>
  <c r="E155" i="1" s="1"/>
  <c r="F155" i="1" s="1"/>
  <c r="B156" i="1" s="1"/>
  <c r="D156" i="1" l="1"/>
  <c r="E156" i="1" s="1"/>
  <c r="F156" i="1" s="1"/>
  <c r="B157" i="1" s="1"/>
  <c r="D157" i="1" l="1"/>
  <c r="E157" i="1" s="1"/>
  <c r="F157" i="1" s="1"/>
  <c r="B158" i="1" s="1"/>
  <c r="D158" i="1" l="1"/>
  <c r="E158" i="1" s="1"/>
  <c r="F158" i="1" s="1"/>
  <c r="B159" i="1" s="1"/>
  <c r="D159" i="1" l="1"/>
  <c r="E159" i="1" s="1"/>
  <c r="F159" i="1" s="1"/>
  <c r="B160" i="1" s="1"/>
  <c r="D160" i="1" l="1"/>
  <c r="E160" i="1" s="1"/>
  <c r="F160" i="1" s="1"/>
  <c r="B161" i="1" s="1"/>
  <c r="D161" i="1" l="1"/>
  <c r="E161" i="1" s="1"/>
  <c r="F161" i="1" s="1"/>
  <c r="B162" i="1" s="1"/>
  <c r="D162" i="1" l="1"/>
  <c r="E162" i="1" s="1"/>
  <c r="F162" i="1" s="1"/>
  <c r="B163" i="1" s="1"/>
  <c r="D163" i="1" l="1"/>
  <c r="E163" i="1" s="1"/>
  <c r="F163" i="1" s="1"/>
  <c r="B164" i="1" s="1"/>
  <c r="D164" i="1" l="1"/>
  <c r="E164" i="1" s="1"/>
  <c r="F164" i="1" s="1"/>
  <c r="B165" i="1" s="1"/>
  <c r="D165" i="1" l="1"/>
  <c r="E165" i="1" s="1"/>
  <c r="F165" i="1" s="1"/>
  <c r="B166" i="1" s="1"/>
  <c r="D166" i="1" l="1"/>
  <c r="E166" i="1" s="1"/>
  <c r="F166" i="1" s="1"/>
  <c r="B167" i="1" s="1"/>
  <c r="D167" i="1" l="1"/>
  <c r="E167" i="1" s="1"/>
  <c r="F167" i="1" s="1"/>
  <c r="B168" i="1" s="1"/>
  <c r="D168" i="1" l="1"/>
  <c r="E168" i="1" s="1"/>
  <c r="F168" i="1" s="1"/>
  <c r="B169" i="1" s="1"/>
  <c r="D169" i="1" l="1"/>
  <c r="E169" i="1" s="1"/>
  <c r="F169" i="1" s="1"/>
  <c r="B170" i="1" s="1"/>
  <c r="D170" i="1" l="1"/>
  <c r="E170" i="1" s="1"/>
  <c r="F170" i="1" s="1"/>
  <c r="B171" i="1" s="1"/>
  <c r="D171" i="1" l="1"/>
  <c r="E171" i="1" s="1"/>
  <c r="F171" i="1" s="1"/>
  <c r="B172" i="1" s="1"/>
  <c r="D172" i="1" l="1"/>
  <c r="E172" i="1" s="1"/>
  <c r="F172" i="1" s="1"/>
  <c r="B173" i="1" s="1"/>
  <c r="D173" i="1" l="1"/>
  <c r="E173" i="1" s="1"/>
  <c r="F173" i="1" s="1"/>
  <c r="B174" i="1" s="1"/>
  <c r="D174" i="1" l="1"/>
  <c r="E174" i="1" s="1"/>
  <c r="F174" i="1" s="1"/>
  <c r="B175" i="1" s="1"/>
  <c r="D175" i="1" l="1"/>
  <c r="E175" i="1" s="1"/>
  <c r="F175" i="1" s="1"/>
  <c r="B176" i="1" s="1"/>
  <c r="D176" i="1" l="1"/>
  <c r="E176" i="1" s="1"/>
  <c r="F176" i="1" s="1"/>
  <c r="B177" i="1" s="1"/>
  <c r="D177" i="1" l="1"/>
  <c r="E177" i="1" s="1"/>
  <c r="F177" i="1" s="1"/>
  <c r="B178" i="1" s="1"/>
  <c r="D178" i="1" l="1"/>
  <c r="E178" i="1" s="1"/>
  <c r="F178" i="1" s="1"/>
  <c r="B179" i="1" s="1"/>
  <c r="D179" i="1" l="1"/>
  <c r="E179" i="1" s="1"/>
  <c r="F179" i="1" s="1"/>
  <c r="B180" i="1" s="1"/>
  <c r="D180" i="1" l="1"/>
  <c r="E180" i="1" s="1"/>
  <c r="F180" i="1" s="1"/>
  <c r="B181" i="1" s="1"/>
  <c r="D181" i="1" l="1"/>
  <c r="E181" i="1" s="1"/>
  <c r="F181" i="1" s="1"/>
  <c r="B182" i="1" s="1"/>
  <c r="D182" i="1" l="1"/>
  <c r="E182" i="1" s="1"/>
  <c r="F182" i="1" s="1"/>
  <c r="B183" i="1" s="1"/>
  <c r="D183" i="1" l="1"/>
  <c r="E183" i="1" s="1"/>
  <c r="F183" i="1" s="1"/>
  <c r="B184" i="1" s="1"/>
  <c r="D184" i="1" l="1"/>
  <c r="E184" i="1" s="1"/>
  <c r="F184" i="1" s="1"/>
  <c r="B185" i="1" s="1"/>
  <c r="D185" i="1" l="1"/>
  <c r="E185" i="1" s="1"/>
  <c r="F185" i="1" s="1"/>
  <c r="B186" i="1" s="1"/>
  <c r="D186" i="1" l="1"/>
  <c r="E186" i="1" s="1"/>
  <c r="F186" i="1" s="1"/>
  <c r="B187" i="1" s="1"/>
  <c r="D187" i="1" l="1"/>
  <c r="E187" i="1" s="1"/>
  <c r="F187" i="1" s="1"/>
  <c r="B188" i="1" s="1"/>
  <c r="D188" i="1" l="1"/>
  <c r="E188" i="1" s="1"/>
  <c r="F188" i="1" s="1"/>
  <c r="B189" i="1" s="1"/>
  <c r="D189" i="1" l="1"/>
  <c r="E189" i="1" s="1"/>
  <c r="F189" i="1" s="1"/>
  <c r="B190" i="1" s="1"/>
  <c r="D190" i="1" l="1"/>
  <c r="E190" i="1" s="1"/>
  <c r="F190" i="1" s="1"/>
  <c r="B191" i="1" s="1"/>
  <c r="D191" i="1" l="1"/>
  <c r="E191" i="1" s="1"/>
  <c r="F191" i="1" s="1"/>
  <c r="B192" i="1" s="1"/>
  <c r="D192" i="1" l="1"/>
  <c r="E192" i="1" s="1"/>
  <c r="F192" i="1" s="1"/>
  <c r="B193" i="1" s="1"/>
  <c r="D193" i="1" l="1"/>
  <c r="E193" i="1" s="1"/>
  <c r="F193" i="1" s="1"/>
  <c r="B194" i="1" s="1"/>
  <c r="D194" i="1" l="1"/>
  <c r="E194" i="1" s="1"/>
  <c r="F194" i="1" s="1"/>
  <c r="B195" i="1" s="1"/>
  <c r="D195" i="1" l="1"/>
  <c r="E195" i="1" s="1"/>
  <c r="F195" i="1" s="1"/>
  <c r="B196" i="1" s="1"/>
  <c r="D196" i="1" l="1"/>
  <c r="E196" i="1" s="1"/>
  <c r="F196" i="1" s="1"/>
  <c r="B197" i="1" s="1"/>
  <c r="D197" i="1" l="1"/>
  <c r="E197" i="1" s="1"/>
  <c r="F197" i="1" s="1"/>
  <c r="B198" i="1" s="1"/>
  <c r="D198" i="1" l="1"/>
  <c r="E198" i="1" s="1"/>
  <c r="F198" i="1" s="1"/>
  <c r="B199" i="1" s="1"/>
  <c r="D199" i="1" l="1"/>
  <c r="E199" i="1" s="1"/>
  <c r="F199" i="1" s="1"/>
  <c r="B200" i="1" s="1"/>
  <c r="D200" i="1" l="1"/>
  <c r="E200" i="1" s="1"/>
  <c r="F200" i="1" s="1"/>
  <c r="B201" i="1" s="1"/>
  <c r="D201" i="1" l="1"/>
  <c r="E201" i="1" s="1"/>
  <c r="F201" i="1" s="1"/>
  <c r="B202" i="1" s="1"/>
  <c r="D202" i="1" l="1"/>
  <c r="E202" i="1" s="1"/>
  <c r="F202" i="1" s="1"/>
  <c r="B203" i="1" s="1"/>
  <c r="D203" i="1" l="1"/>
  <c r="E203" i="1" s="1"/>
  <c r="F203" i="1" s="1"/>
  <c r="B204" i="1" s="1"/>
  <c r="D204" i="1" l="1"/>
  <c r="E204" i="1" s="1"/>
  <c r="F204" i="1" s="1"/>
  <c r="B205" i="1" s="1"/>
  <c r="D205" i="1" l="1"/>
  <c r="E205" i="1" s="1"/>
  <c r="F205" i="1" s="1"/>
  <c r="B206" i="1" s="1"/>
  <c r="D206" i="1" l="1"/>
  <c r="E206" i="1" s="1"/>
  <c r="F206" i="1" s="1"/>
  <c r="B207" i="1" s="1"/>
  <c r="D207" i="1" l="1"/>
  <c r="E207" i="1" s="1"/>
  <c r="F207" i="1" s="1"/>
  <c r="B208" i="1" s="1"/>
  <c r="D208" i="1" s="1"/>
  <c r="E208" i="1" s="1"/>
  <c r="F208" i="1" s="1"/>
  <c r="B209" i="1" s="1"/>
  <c r="D209" i="1" l="1"/>
  <c r="E209" i="1" s="1"/>
  <c r="F209" i="1" s="1"/>
  <c r="B210" i="1" s="1"/>
  <c r="D210" i="1" l="1"/>
  <c r="E210" i="1" s="1"/>
  <c r="F210" i="1" s="1"/>
  <c r="B211" i="1" s="1"/>
  <c r="D211" i="1" l="1"/>
  <c r="E211" i="1" s="1"/>
  <c r="F211" i="1" s="1"/>
  <c r="B212" i="1" s="1"/>
  <c r="D212" i="1" l="1"/>
  <c r="E212" i="1" s="1"/>
  <c r="F212" i="1" s="1"/>
  <c r="B213" i="1" s="1"/>
  <c r="D213" i="1" l="1"/>
  <c r="E213" i="1" s="1"/>
  <c r="F213" i="1" s="1"/>
  <c r="B214" i="1" s="1"/>
  <c r="D214" i="1" l="1"/>
  <c r="E214" i="1" s="1"/>
  <c r="F214" i="1" s="1"/>
  <c r="B215" i="1" s="1"/>
  <c r="D215" i="1" l="1"/>
  <c r="E215" i="1" s="1"/>
  <c r="F215" i="1" s="1"/>
  <c r="B216" i="1" s="1"/>
  <c r="D216" i="1" l="1"/>
  <c r="E216" i="1" s="1"/>
  <c r="F216" i="1" s="1"/>
  <c r="B217" i="1" s="1"/>
  <c r="D217" i="1" l="1"/>
  <c r="E217" i="1" s="1"/>
  <c r="F217" i="1" s="1"/>
  <c r="B218" i="1" s="1"/>
  <c r="D218" i="1" l="1"/>
  <c r="E218" i="1" s="1"/>
  <c r="F218" i="1" s="1"/>
  <c r="B219" i="1" s="1"/>
  <c r="D219" i="1" l="1"/>
  <c r="E219" i="1" s="1"/>
  <c r="F219" i="1" s="1"/>
  <c r="B220" i="1" s="1"/>
  <c r="D220" i="1" l="1"/>
  <c r="E220" i="1" s="1"/>
  <c r="F220" i="1" s="1"/>
  <c r="B221" i="1" s="1"/>
  <c r="D221" i="1" l="1"/>
  <c r="E221" i="1" s="1"/>
  <c r="F221" i="1" s="1"/>
  <c r="B222" i="1" s="1"/>
  <c r="D222" i="1" l="1"/>
  <c r="E222" i="1" s="1"/>
  <c r="F222" i="1" s="1"/>
  <c r="B223" i="1" s="1"/>
  <c r="D223" i="1" l="1"/>
  <c r="E223" i="1" s="1"/>
  <c r="F223" i="1" s="1"/>
  <c r="B224" i="1" s="1"/>
  <c r="D224" i="1" l="1"/>
  <c r="E224" i="1" s="1"/>
  <c r="F224" i="1" s="1"/>
  <c r="B225" i="1" s="1"/>
  <c r="D225" i="1" l="1"/>
  <c r="E225" i="1" s="1"/>
  <c r="F225" i="1" s="1"/>
  <c r="B226" i="1" s="1"/>
  <c r="D226" i="1" l="1"/>
  <c r="E226" i="1" s="1"/>
  <c r="F226" i="1" s="1"/>
  <c r="B227" i="1" s="1"/>
  <c r="D227" i="1" l="1"/>
  <c r="E227" i="1" s="1"/>
  <c r="F227" i="1" s="1"/>
  <c r="B228" i="1" s="1"/>
  <c r="D228" i="1" l="1"/>
  <c r="E228" i="1" s="1"/>
  <c r="F228" i="1" s="1"/>
  <c r="B229" i="1" s="1"/>
  <c r="D229" i="1" l="1"/>
  <c r="E229" i="1" s="1"/>
  <c r="F229" i="1" s="1"/>
  <c r="B230" i="1" s="1"/>
  <c r="D230" i="1" l="1"/>
  <c r="E230" i="1" s="1"/>
  <c r="F230" i="1" s="1"/>
  <c r="B231" i="1" s="1"/>
  <c r="D231" i="1" l="1"/>
  <c r="E231" i="1" s="1"/>
  <c r="F231" i="1" s="1"/>
  <c r="B232" i="1" s="1"/>
  <c r="D232" i="1" l="1"/>
  <c r="E232" i="1" s="1"/>
  <c r="F232" i="1" s="1"/>
  <c r="B233" i="1" s="1"/>
  <c r="D233" i="1" l="1"/>
  <c r="E233" i="1" s="1"/>
  <c r="F233" i="1" s="1"/>
  <c r="B234" i="1" s="1"/>
  <c r="D234" i="1" l="1"/>
  <c r="E234" i="1" s="1"/>
  <c r="F234" i="1" s="1"/>
  <c r="B235" i="1" s="1"/>
  <c r="D235" i="1" l="1"/>
  <c r="E235" i="1" s="1"/>
  <c r="F235" i="1" s="1"/>
  <c r="B236" i="1" s="1"/>
  <c r="D236" i="1" l="1"/>
  <c r="E236" i="1" s="1"/>
  <c r="F236" i="1" s="1"/>
  <c r="B237" i="1" s="1"/>
  <c r="D237" i="1" l="1"/>
  <c r="E237" i="1" s="1"/>
  <c r="F237" i="1" s="1"/>
  <c r="B238" i="1" s="1"/>
  <c r="D238" i="1" l="1"/>
  <c r="E238" i="1" s="1"/>
  <c r="F238" i="1" s="1"/>
  <c r="B239" i="1" s="1"/>
  <c r="D239" i="1" l="1"/>
  <c r="E239" i="1" s="1"/>
  <c r="F239" i="1" s="1"/>
  <c r="B240" i="1" s="1"/>
  <c r="D240" i="1" l="1"/>
  <c r="E240" i="1" s="1"/>
  <c r="F240" i="1" s="1"/>
  <c r="B241" i="1" s="1"/>
  <c r="D241" i="1" l="1"/>
  <c r="E241" i="1" s="1"/>
  <c r="F241" i="1" s="1"/>
  <c r="B242" i="1" s="1"/>
  <c r="D242" i="1" l="1"/>
  <c r="E242" i="1" s="1"/>
  <c r="F242" i="1" s="1"/>
  <c r="B243" i="1" s="1"/>
  <c r="D243" i="1" l="1"/>
  <c r="E243" i="1" s="1"/>
  <c r="F243" i="1" s="1"/>
  <c r="B244" i="1" s="1"/>
  <c r="D244" i="1" l="1"/>
  <c r="E244" i="1" s="1"/>
  <c r="F244" i="1" s="1"/>
  <c r="B245" i="1" s="1"/>
  <c r="D245" i="1" l="1"/>
  <c r="E245" i="1" s="1"/>
  <c r="F245" i="1" s="1"/>
  <c r="B246" i="1" s="1"/>
  <c r="D246" i="1" l="1"/>
  <c r="E246" i="1" s="1"/>
  <c r="F246" i="1" s="1"/>
  <c r="B247" i="1" s="1"/>
  <c r="D247" i="1" l="1"/>
  <c r="E247" i="1" s="1"/>
  <c r="F247" i="1" s="1"/>
  <c r="B248" i="1" s="1"/>
  <c r="D248" i="1" l="1"/>
  <c r="E248" i="1" s="1"/>
  <c r="F248" i="1" s="1"/>
  <c r="B249" i="1" s="1"/>
  <c r="D249" i="1" l="1"/>
  <c r="E249" i="1" s="1"/>
  <c r="F249" i="1" s="1"/>
  <c r="B250" i="1" s="1"/>
  <c r="D250" i="1" l="1"/>
  <c r="E250" i="1" s="1"/>
  <c r="F250" i="1" s="1"/>
  <c r="B251" i="1" s="1"/>
  <c r="D251" i="1" l="1"/>
  <c r="E251" i="1" s="1"/>
  <c r="F251" i="1" s="1"/>
  <c r="B252" i="1" s="1"/>
  <c r="D252" i="1" l="1"/>
  <c r="E252" i="1" s="1"/>
  <c r="F252" i="1" s="1"/>
  <c r="B253" i="1" s="1"/>
  <c r="D253" i="1" l="1"/>
  <c r="E253" i="1" s="1"/>
  <c r="F253" i="1" s="1"/>
  <c r="B254" i="1" s="1"/>
  <c r="D254" i="1" l="1"/>
  <c r="E254" i="1" s="1"/>
  <c r="F254" i="1" s="1"/>
  <c r="B255" i="1" s="1"/>
  <c r="D255" i="1" l="1"/>
  <c r="E255" i="1" s="1"/>
  <c r="F255" i="1" s="1"/>
  <c r="B256" i="1" s="1"/>
  <c r="D256" i="1" l="1"/>
  <c r="E256" i="1" s="1"/>
  <c r="F256" i="1" s="1"/>
  <c r="B257" i="1" s="1"/>
  <c r="D257" i="1" l="1"/>
  <c r="E257" i="1" s="1"/>
  <c r="F257" i="1" s="1"/>
  <c r="B258" i="1" s="1"/>
  <c r="D258" i="1" l="1"/>
  <c r="E258" i="1" s="1"/>
  <c r="F258" i="1" s="1"/>
  <c r="B259" i="1" s="1"/>
  <c r="D259" i="1" l="1"/>
  <c r="E259" i="1" s="1"/>
  <c r="F259" i="1" s="1"/>
  <c r="B260" i="1" s="1"/>
  <c r="D260" i="1" l="1"/>
  <c r="E260" i="1" s="1"/>
  <c r="F260" i="1" s="1"/>
  <c r="B261" i="1" s="1"/>
  <c r="D261" i="1" l="1"/>
  <c r="E261" i="1" s="1"/>
  <c r="F261" i="1" s="1"/>
  <c r="B262" i="1" s="1"/>
  <c r="D262" i="1" l="1"/>
  <c r="E262" i="1" s="1"/>
  <c r="F262" i="1" s="1"/>
  <c r="B263" i="1" s="1"/>
  <c r="D263" i="1" l="1"/>
  <c r="E263" i="1" s="1"/>
  <c r="F263" i="1" s="1"/>
  <c r="B264" i="1" s="1"/>
  <c r="D264" i="1" l="1"/>
  <c r="E264" i="1" s="1"/>
  <c r="F264" i="1" s="1"/>
  <c r="B265" i="1" s="1"/>
  <c r="D265" i="1" l="1"/>
  <c r="E265" i="1" s="1"/>
  <c r="F265" i="1" s="1"/>
  <c r="B266" i="1" s="1"/>
  <c r="D266" i="1" l="1"/>
  <c r="E266" i="1" s="1"/>
  <c r="F266" i="1" s="1"/>
  <c r="B267" i="1" s="1"/>
  <c r="D267" i="1" l="1"/>
  <c r="E267" i="1" s="1"/>
  <c r="F267" i="1" s="1"/>
  <c r="B268" i="1" s="1"/>
  <c r="D268" i="1" l="1"/>
  <c r="E268" i="1" s="1"/>
  <c r="F268" i="1" s="1"/>
  <c r="B269" i="1" s="1"/>
  <c r="D269" i="1" l="1"/>
  <c r="E269" i="1" s="1"/>
  <c r="F269" i="1" s="1"/>
  <c r="B270" i="1" s="1"/>
  <c r="D270" i="1" l="1"/>
  <c r="E270" i="1" s="1"/>
  <c r="F270" i="1" s="1"/>
  <c r="B271" i="1" s="1"/>
  <c r="D271" i="1" l="1"/>
  <c r="E271" i="1" s="1"/>
  <c r="F271" i="1" s="1"/>
  <c r="B272" i="1" s="1"/>
  <c r="D272" i="1" l="1"/>
  <c r="E272" i="1" s="1"/>
  <c r="F272" i="1" s="1"/>
  <c r="B273" i="1" s="1"/>
  <c r="D273" i="1" s="1"/>
  <c r="E273" i="1" s="1"/>
  <c r="F273" i="1" s="1"/>
  <c r="B274" i="1" s="1"/>
  <c r="D274" i="1" l="1"/>
  <c r="E274" i="1" s="1"/>
  <c r="F274" i="1" s="1"/>
  <c r="B275" i="1" s="1"/>
  <c r="D275" i="1" l="1"/>
  <c r="E275" i="1" s="1"/>
  <c r="F275" i="1" s="1"/>
  <c r="B276" i="1" s="1"/>
  <c r="D276" i="1" l="1"/>
  <c r="E276" i="1" s="1"/>
  <c r="F276" i="1" s="1"/>
  <c r="B277" i="1" s="1"/>
  <c r="D277" i="1" l="1"/>
  <c r="E277" i="1" s="1"/>
  <c r="F277" i="1" s="1"/>
  <c r="B278" i="1" s="1"/>
  <c r="D278" i="1" l="1"/>
  <c r="E278" i="1" s="1"/>
  <c r="F278" i="1" s="1"/>
  <c r="B279" i="1" s="1"/>
  <c r="D279" i="1" l="1"/>
  <c r="E279" i="1" s="1"/>
  <c r="F279" i="1" s="1"/>
  <c r="B280" i="1" s="1"/>
  <c r="D280" i="1" l="1"/>
  <c r="E280" i="1" s="1"/>
  <c r="F280" i="1" s="1"/>
  <c r="B281" i="1" s="1"/>
  <c r="D281" i="1" l="1"/>
  <c r="E281" i="1" s="1"/>
  <c r="F281" i="1" s="1"/>
  <c r="B282" i="1" s="1"/>
  <c r="D282" i="1" l="1"/>
  <c r="E282" i="1" s="1"/>
  <c r="F282" i="1" s="1"/>
  <c r="B283" i="1" s="1"/>
  <c r="D283" i="1" l="1"/>
  <c r="E283" i="1" s="1"/>
  <c r="F283" i="1" s="1"/>
  <c r="B284" i="1" s="1"/>
  <c r="D284" i="1" l="1"/>
  <c r="E284" i="1" s="1"/>
  <c r="F284" i="1" s="1"/>
  <c r="B285" i="1" s="1"/>
  <c r="D285" i="1" l="1"/>
  <c r="E285" i="1" s="1"/>
  <c r="F285" i="1" s="1"/>
  <c r="B286" i="1" s="1"/>
  <c r="D286" i="1" s="1"/>
  <c r="E286" i="1" s="1"/>
  <c r="F286" i="1" s="1"/>
  <c r="B287" i="1" s="1"/>
  <c r="D287" i="1" l="1"/>
  <c r="E287" i="1" s="1"/>
  <c r="F287" i="1" s="1"/>
  <c r="B288" i="1" s="1"/>
  <c r="D288" i="1" l="1"/>
  <c r="E288" i="1" s="1"/>
  <c r="F288" i="1" s="1"/>
  <c r="B289" i="1" s="1"/>
  <c r="D289" i="1" l="1"/>
  <c r="E289" i="1" s="1"/>
  <c r="F289" i="1" s="1"/>
  <c r="B290" i="1" s="1"/>
  <c r="D290" i="1" l="1"/>
  <c r="E290" i="1" s="1"/>
  <c r="F290" i="1" s="1"/>
  <c r="B291" i="1" s="1"/>
  <c r="D291" i="1" l="1"/>
  <c r="E291" i="1" s="1"/>
  <c r="F291" i="1" s="1"/>
  <c r="B292" i="1" s="1"/>
  <c r="D292" i="1" l="1"/>
  <c r="E292" i="1" s="1"/>
  <c r="F292" i="1" s="1"/>
  <c r="B293" i="1" s="1"/>
  <c r="D293" i="1" l="1"/>
  <c r="E293" i="1" s="1"/>
  <c r="F293" i="1" s="1"/>
  <c r="B294" i="1" s="1"/>
  <c r="D294" i="1" l="1"/>
  <c r="E294" i="1" s="1"/>
  <c r="F294" i="1" s="1"/>
  <c r="B295" i="1" s="1"/>
  <c r="D295" i="1" l="1"/>
  <c r="E295" i="1" s="1"/>
  <c r="F295" i="1" s="1"/>
  <c r="B296" i="1" s="1"/>
  <c r="D296" i="1" l="1"/>
  <c r="E296" i="1" s="1"/>
  <c r="F296" i="1" s="1"/>
  <c r="B297" i="1" s="1"/>
  <c r="D297" i="1" l="1"/>
  <c r="E297" i="1" s="1"/>
  <c r="F297" i="1" s="1"/>
  <c r="B298" i="1" s="1"/>
  <c r="D298" i="1" l="1"/>
  <c r="E298" i="1" s="1"/>
  <c r="F298" i="1" s="1"/>
  <c r="B299" i="1" s="1"/>
  <c r="D299" i="1" l="1"/>
  <c r="E299" i="1" s="1"/>
  <c r="F299" i="1" s="1"/>
  <c r="B300" i="1" s="1"/>
  <c r="D300" i="1" l="1"/>
  <c r="E300" i="1" s="1"/>
  <c r="F300" i="1" s="1"/>
  <c r="B301" i="1" s="1"/>
  <c r="D301" i="1" l="1"/>
  <c r="E301" i="1" s="1"/>
  <c r="F301" i="1" s="1"/>
  <c r="B302" i="1" s="1"/>
  <c r="D302" i="1" l="1"/>
  <c r="E302" i="1" s="1"/>
  <c r="F302" i="1" s="1"/>
  <c r="B303" i="1" s="1"/>
  <c r="D303" i="1" l="1"/>
  <c r="E303" i="1" s="1"/>
  <c r="F303" i="1" s="1"/>
  <c r="B304" i="1" s="1"/>
  <c r="D304" i="1" l="1"/>
  <c r="E304" i="1" s="1"/>
  <c r="F304" i="1" s="1"/>
  <c r="B305" i="1" s="1"/>
  <c r="D305" i="1" l="1"/>
  <c r="E305" i="1" s="1"/>
  <c r="F305" i="1" s="1"/>
  <c r="B306" i="1" s="1"/>
  <c r="D306" i="1" l="1"/>
  <c r="E306" i="1" s="1"/>
  <c r="F306" i="1" s="1"/>
  <c r="B307" i="1" s="1"/>
  <c r="D307" i="1" l="1"/>
  <c r="E307" i="1" s="1"/>
  <c r="F307" i="1" s="1"/>
  <c r="B308" i="1" s="1"/>
  <c r="D308" i="1" l="1"/>
  <c r="E308" i="1" s="1"/>
  <c r="F308" i="1" s="1"/>
  <c r="B309" i="1" s="1"/>
  <c r="D309" i="1" s="1"/>
  <c r="E309" i="1" s="1"/>
  <c r="F309" i="1" s="1"/>
  <c r="B310" i="1" s="1"/>
  <c r="D310" i="1" l="1"/>
  <c r="E310" i="1" s="1"/>
  <c r="F310" i="1" s="1"/>
  <c r="B311" i="1" s="1"/>
  <c r="D311" i="1" l="1"/>
  <c r="E311" i="1" s="1"/>
  <c r="F311" i="1" s="1"/>
  <c r="B312" i="1" s="1"/>
  <c r="D312" i="1" l="1"/>
  <c r="E312" i="1" s="1"/>
  <c r="F312" i="1" s="1"/>
  <c r="B313" i="1" s="1"/>
  <c r="D313" i="1" l="1"/>
  <c r="E313" i="1" s="1"/>
  <c r="F313" i="1" s="1"/>
  <c r="B314" i="1" s="1"/>
  <c r="D314" i="1" l="1"/>
  <c r="E314" i="1" s="1"/>
  <c r="F314" i="1" s="1"/>
  <c r="B315" i="1" s="1"/>
  <c r="D315" i="1" l="1"/>
  <c r="E315" i="1" s="1"/>
  <c r="F315" i="1" s="1"/>
  <c r="B316" i="1" s="1"/>
  <c r="D316" i="1" l="1"/>
  <c r="E316" i="1" s="1"/>
  <c r="F316" i="1" s="1"/>
  <c r="B317" i="1" s="1"/>
  <c r="D317" i="1" l="1"/>
  <c r="E317" i="1" s="1"/>
  <c r="F317" i="1" s="1"/>
  <c r="B318" i="1" s="1"/>
  <c r="D318" i="1" l="1"/>
  <c r="E318" i="1" s="1"/>
  <c r="F318" i="1" s="1"/>
  <c r="B319" i="1" s="1"/>
  <c r="D319" i="1" l="1"/>
  <c r="E319" i="1" s="1"/>
  <c r="F319" i="1" s="1"/>
  <c r="B320" i="1" s="1"/>
  <c r="D320" i="1" l="1"/>
  <c r="E320" i="1" s="1"/>
  <c r="F320" i="1" s="1"/>
  <c r="B321" i="1" s="1"/>
  <c r="D321" i="1" l="1"/>
  <c r="E321" i="1" s="1"/>
  <c r="F321" i="1" s="1"/>
  <c r="B322" i="1" s="1"/>
  <c r="D322" i="1" l="1"/>
  <c r="E322" i="1" s="1"/>
  <c r="F322" i="1" s="1"/>
  <c r="B323" i="1" s="1"/>
  <c r="D323" i="1" l="1"/>
  <c r="E323" i="1" s="1"/>
  <c r="F323" i="1" s="1"/>
  <c r="B324" i="1" s="1"/>
  <c r="D324" i="1" l="1"/>
  <c r="E324" i="1" s="1"/>
  <c r="F324" i="1" s="1"/>
  <c r="B325" i="1" s="1"/>
  <c r="D325" i="1" l="1"/>
  <c r="E325" i="1" s="1"/>
  <c r="F325" i="1" s="1"/>
  <c r="B326" i="1" s="1"/>
  <c r="D326" i="1" l="1"/>
  <c r="E326" i="1" s="1"/>
  <c r="F326" i="1" s="1"/>
  <c r="B327" i="1" s="1"/>
  <c r="D327" i="1" l="1"/>
  <c r="E327" i="1" s="1"/>
  <c r="F327" i="1" s="1"/>
  <c r="B328" i="1" s="1"/>
  <c r="D328" i="1" l="1"/>
  <c r="E328" i="1" s="1"/>
  <c r="F328" i="1" s="1"/>
  <c r="B329" i="1" s="1"/>
  <c r="D329" i="1" l="1"/>
  <c r="E329" i="1" s="1"/>
  <c r="F329" i="1" s="1"/>
  <c r="B330" i="1" s="1"/>
  <c r="D330" i="1" l="1"/>
  <c r="E330" i="1" s="1"/>
  <c r="F330" i="1" s="1"/>
  <c r="B331" i="1" s="1"/>
  <c r="D331" i="1" l="1"/>
  <c r="E331" i="1" s="1"/>
  <c r="F331" i="1" s="1"/>
  <c r="B332" i="1" s="1"/>
  <c r="D332" i="1" l="1"/>
  <c r="E332" i="1" s="1"/>
  <c r="F332" i="1" s="1"/>
  <c r="B333" i="1" s="1"/>
  <c r="D333" i="1" l="1"/>
  <c r="E333" i="1" s="1"/>
  <c r="F333" i="1" s="1"/>
  <c r="B334" i="1" s="1"/>
  <c r="D334" i="1" l="1"/>
  <c r="E334" i="1" s="1"/>
  <c r="F334" i="1" s="1"/>
  <c r="B335" i="1" s="1"/>
  <c r="D335" i="1" l="1"/>
  <c r="E335" i="1" s="1"/>
  <c r="F335" i="1" s="1"/>
  <c r="B336" i="1" s="1"/>
  <c r="D336" i="1" l="1"/>
  <c r="E336" i="1" s="1"/>
  <c r="F336" i="1" s="1"/>
  <c r="B337" i="1" s="1"/>
  <c r="D337" i="1" l="1"/>
  <c r="E337" i="1" s="1"/>
  <c r="F337" i="1" s="1"/>
  <c r="B338" i="1" s="1"/>
  <c r="D338" i="1" l="1"/>
  <c r="E338" i="1" s="1"/>
  <c r="F338" i="1" s="1"/>
  <c r="B339" i="1" s="1"/>
  <c r="D339" i="1" l="1"/>
  <c r="E339" i="1" s="1"/>
  <c r="F339" i="1" s="1"/>
  <c r="B340" i="1" s="1"/>
  <c r="D340" i="1" l="1"/>
  <c r="E340" i="1" s="1"/>
  <c r="F340" i="1" s="1"/>
  <c r="B341" i="1" s="1"/>
  <c r="D341" i="1" l="1"/>
  <c r="E341" i="1" s="1"/>
  <c r="F341" i="1" s="1"/>
  <c r="B342" i="1" s="1"/>
  <c r="D342" i="1" l="1"/>
  <c r="E342" i="1" s="1"/>
  <c r="F342" i="1" s="1"/>
  <c r="B343" i="1" s="1"/>
  <c r="D343" i="1" l="1"/>
  <c r="E343" i="1" s="1"/>
  <c r="F343" i="1" s="1"/>
  <c r="B344" i="1" s="1"/>
  <c r="D344" i="1" l="1"/>
  <c r="E344" i="1" s="1"/>
  <c r="F344" i="1" s="1"/>
  <c r="B345" i="1" s="1"/>
  <c r="D345" i="1" l="1"/>
  <c r="E345" i="1" s="1"/>
  <c r="F345" i="1" s="1"/>
  <c r="B346" i="1" s="1"/>
  <c r="D346" i="1" l="1"/>
  <c r="E346" i="1" s="1"/>
  <c r="F346" i="1" s="1"/>
  <c r="B347" i="1" s="1"/>
  <c r="D347" i="1" l="1"/>
  <c r="E347" i="1" s="1"/>
  <c r="F347" i="1" s="1"/>
  <c r="B348" i="1" s="1"/>
  <c r="D348" i="1" l="1"/>
  <c r="E348" i="1" s="1"/>
  <c r="F348" i="1" s="1"/>
  <c r="B349" i="1" s="1"/>
  <c r="D349" i="1" l="1"/>
  <c r="E349" i="1" s="1"/>
  <c r="F349" i="1" s="1"/>
  <c r="B350" i="1" s="1"/>
  <c r="D350" i="1" l="1"/>
  <c r="E350" i="1" s="1"/>
  <c r="F350" i="1" s="1"/>
  <c r="B351" i="1" s="1"/>
  <c r="D351" i="1" l="1"/>
  <c r="E351" i="1" s="1"/>
  <c r="F351" i="1" s="1"/>
  <c r="B352" i="1" s="1"/>
  <c r="D352" i="1" l="1"/>
  <c r="E352" i="1" s="1"/>
  <c r="F352" i="1" l="1"/>
  <c r="B353" i="1" s="1"/>
</calcChain>
</file>

<file path=xl/sharedStrings.xml><?xml version="1.0" encoding="utf-8"?>
<sst xmlns="http://schemas.openxmlformats.org/spreadsheetml/2006/main" count="107" uniqueCount="59">
  <si>
    <t>计息基础</t>
    <phoneticPr fontId="2" type="noConversion"/>
  </si>
  <si>
    <t>买入日</t>
    <phoneticPr fontId="2" type="noConversion"/>
  </si>
  <si>
    <t>起息日</t>
    <phoneticPr fontId="2" type="noConversion"/>
  </si>
  <si>
    <t>到期日</t>
    <phoneticPr fontId="2" type="noConversion"/>
  </si>
  <si>
    <t>买入净价</t>
    <phoneticPr fontId="2" type="noConversion"/>
  </si>
  <si>
    <t>日期</t>
    <phoneticPr fontId="2" type="noConversion"/>
  </si>
  <si>
    <t>实际利率</t>
    <phoneticPr fontId="2" type="noConversion"/>
  </si>
  <si>
    <t>摊销额</t>
    <phoneticPr fontId="2" type="noConversion"/>
  </si>
  <si>
    <t>买入面额</t>
    <phoneticPr fontId="2" type="noConversion"/>
  </si>
  <si>
    <t>实际收益合计</t>
    <phoneticPr fontId="2" type="noConversion"/>
  </si>
  <si>
    <t>买入全价总额</t>
    <phoneticPr fontId="2" type="noConversion"/>
  </si>
  <si>
    <t>总计摊销额</t>
    <phoneticPr fontId="2" type="noConversion"/>
  </si>
  <si>
    <t>买入全价</t>
    <phoneticPr fontId="2" type="noConversion"/>
  </si>
  <si>
    <t>日利率摊销</t>
    <phoneticPr fontId="2" type="noConversion"/>
  </si>
  <si>
    <t>摊销后成本</t>
    <phoneticPr fontId="2" type="noConversion"/>
  </si>
  <si>
    <t>投资收益</t>
    <phoneticPr fontId="2" type="noConversion"/>
  </si>
  <si>
    <t>买入应计利息</t>
    <phoneticPr fontId="2" type="noConversion"/>
  </si>
  <si>
    <t>还本</t>
    <phoneticPr fontId="2" type="noConversion"/>
  </si>
  <si>
    <t>全冲全提</t>
    <phoneticPr fontId="2" type="noConversion"/>
  </si>
  <si>
    <t>差额计提</t>
    <phoneticPr fontId="2" type="noConversion"/>
  </si>
  <si>
    <t>借贷</t>
    <phoneticPr fontId="2" type="noConversion"/>
  </si>
  <si>
    <t>科目</t>
    <phoneticPr fontId="2" type="noConversion"/>
  </si>
  <si>
    <t>金额</t>
    <phoneticPr fontId="2" type="noConversion"/>
  </si>
  <si>
    <t>券面</t>
    <phoneticPr fontId="2" type="noConversion"/>
  </si>
  <si>
    <t>净价</t>
    <phoneticPr fontId="2" type="noConversion"/>
  </si>
  <si>
    <t>每日摊销</t>
    <phoneticPr fontId="2" type="noConversion"/>
  </si>
  <si>
    <t>买入日</t>
    <phoneticPr fontId="2" type="noConversion"/>
  </si>
  <si>
    <t>借</t>
    <phoneticPr fontId="2" type="noConversion"/>
  </si>
  <si>
    <t>贷</t>
    <phoneticPr fontId="2" type="noConversion"/>
  </si>
  <si>
    <t>券面成本</t>
    <phoneticPr fontId="2" type="noConversion"/>
  </si>
  <si>
    <t>贷</t>
    <phoneticPr fontId="2" type="noConversion"/>
  </si>
  <si>
    <t>借</t>
    <phoneticPr fontId="2" type="noConversion"/>
  </si>
  <si>
    <t>冲销</t>
    <phoneticPr fontId="2" type="noConversion"/>
  </si>
  <si>
    <t>记账场景</t>
    <phoneticPr fontId="2" type="noConversion"/>
  </si>
  <si>
    <t>买入</t>
    <phoneticPr fontId="2" type="noConversion"/>
  </si>
  <si>
    <t>1111利息调整</t>
    <phoneticPr fontId="2" type="noConversion"/>
  </si>
  <si>
    <t>6111投资利息调整收支</t>
    <phoneticPr fontId="2" type="noConversion"/>
  </si>
  <si>
    <t>正常</t>
    <phoneticPr fontId="2" type="noConversion"/>
  </si>
  <si>
    <t>结算账户</t>
    <phoneticPr fontId="2" type="noConversion"/>
  </si>
  <si>
    <t>结算账户</t>
    <phoneticPr fontId="2" type="noConversion"/>
  </si>
  <si>
    <t>成本</t>
    <phoneticPr fontId="2" type="noConversion"/>
  </si>
  <si>
    <t>利息调整</t>
    <phoneticPr fontId="2" type="noConversion"/>
  </si>
  <si>
    <t>投资收益</t>
    <phoneticPr fontId="2" type="noConversion"/>
  </si>
  <si>
    <t>6111收支</t>
    <phoneticPr fontId="2" type="noConversion"/>
  </si>
  <si>
    <t>摊销</t>
    <phoneticPr fontId="2" type="noConversion"/>
  </si>
  <si>
    <t>每日新增利息</t>
    <phoneticPr fontId="2" type="noConversion"/>
  </si>
  <si>
    <t>当日新增应计利息</t>
    <phoneticPr fontId="2" type="noConversion"/>
  </si>
  <si>
    <t>摊销前成本</t>
    <phoneticPr fontId="2" type="noConversion"/>
  </si>
  <si>
    <t>摊销日</t>
    <phoneticPr fontId="2" type="noConversion"/>
  </si>
  <si>
    <t>当日利息调整科目值</t>
    <phoneticPr fontId="2" type="noConversion"/>
  </si>
  <si>
    <t>票面利率</t>
    <phoneticPr fontId="2" type="noConversion"/>
  </si>
  <si>
    <t>年付息次数</t>
    <phoneticPr fontId="2" type="noConversion"/>
  </si>
  <si>
    <t xml:space="preserve">操作说明：填写右侧基础信息栏，没有底色的字段；点击【摊销计算】(不能点击需要启用excel宏)
</t>
    <phoneticPr fontId="2" type="noConversion"/>
  </si>
  <si>
    <t>累加摊销额</t>
    <phoneticPr fontId="2" type="noConversion"/>
  </si>
  <si>
    <t>累加应急利息</t>
    <phoneticPr fontId="6" type="noConversion"/>
  </si>
  <si>
    <t>当日摊销净价</t>
    <phoneticPr fontId="6" type="noConversion"/>
  </si>
  <si>
    <t>当日摊销全价</t>
    <phoneticPr fontId="6" type="noConversion"/>
  </si>
  <si>
    <t>当日摊销净价成本</t>
    <phoneticPr fontId="6" type="noConversion"/>
  </si>
  <si>
    <t>当日摊销全价成本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</si>
</sst>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.0_);[Red]\(0.0\)"/>
    <numFmt numFmtId="178" formatCode="0.00_ "/>
    <numFmt numFmtId="179" formatCode="0.000000000000%"/>
    <numFmt numFmtId="180" formatCode="0.000000000000_ "/>
    <numFmt numFmtId="181" formatCode="0.0000_);[Red]\(0.0000\)"/>
    <numFmt numFmtId="182" formatCode="0.0000000_ "/>
  </numFmts>
  <fonts count="7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178" fontId="0" fillId="0" borderId="0" xfId="0" applyNumberFormat="1" applyBorder="1">
      <alignment vertical="center"/>
    </xf>
    <xf numFmtId="177" fontId="0" fillId="0" borderId="0" xfId="0" applyNumberFormat="1" applyBorder="1">
      <alignment vertical="center"/>
    </xf>
    <xf numFmtId="179" fontId="0" fillId="2" borderId="1" xfId="1" applyNumberFormat="1" applyFont="1" applyFill="1" applyBorder="1">
      <alignment vertical="center"/>
    </xf>
    <xf numFmtId="178" fontId="0" fillId="0" borderId="2" xfId="0" applyNumberFormat="1" applyFill="1" applyBorder="1">
      <alignment vertical="center"/>
    </xf>
    <xf numFmtId="180" fontId="0" fillId="3" borderId="1" xfId="0" applyNumberFormat="1" applyFill="1" applyBorder="1">
      <alignment vertical="center"/>
    </xf>
    <xf numFmtId="178" fontId="0" fillId="3" borderId="1" xfId="0" applyNumberFormat="1" applyFill="1" applyBorder="1">
      <alignment vertical="center"/>
    </xf>
    <xf numFmtId="181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182" fontId="0" fillId="3" borderId="1" xfId="0" applyNumberFormat="1" applyFill="1" applyBorder="1">
      <alignment vertical="center"/>
    </xf>
    <xf numFmtId="14" fontId="0" fillId="4" borderId="1" xfId="0" applyNumberFormat="1" applyFill="1" applyBorder="1">
      <alignment vertical="center"/>
    </xf>
    <xf numFmtId="176" fontId="0" fillId="4" borderId="1" xfId="0" applyNumberFormat="1" applyFill="1" applyBorder="1">
      <alignment vertical="center"/>
    </xf>
    <xf numFmtId="178" fontId="0" fillId="4" borderId="1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14" fontId="4" fillId="0" borderId="7" xfId="0" applyNumberFormat="1" applyFont="1" applyBorder="1">
      <alignment vertical="center"/>
    </xf>
    <xf numFmtId="178" fontId="3" fillId="2" borderId="8" xfId="0" applyNumberFormat="1" applyFon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58" fontId="0" fillId="0" borderId="0" xfId="0" applyNumberFormat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vertical="center"/>
    </xf>
    <xf numFmtId="0" fontId="0" fillId="0" borderId="0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Fill="1" applyBorder="1">
      <alignment vertical="center"/>
    </xf>
    <xf numFmtId="178" fontId="0" fillId="2" borderId="1" xfId="0" applyNumberForma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180" fontId="0" fillId="2" borderId="1" xfId="0" applyNumberFormat="1" applyFill="1" applyBorder="1" applyAlignment="1">
      <alignment vertical="center"/>
    </xf>
    <xf numFmtId="178" fontId="0" fillId="2" borderId="1" xfId="0" applyNumberFormat="1" applyFill="1" applyBorder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152400</xdr:rowOff>
        </xdr:from>
        <xdr:to>
          <xdr:col>9</xdr:col>
          <xdr:colOff>247650</xdr:colOff>
          <xdr:row>8</xdr:row>
          <xdr:rowOff>66675</xdr:rowOff>
        </xdr:to>
        <xdr:sp macro="" textlink="">
          <xdr:nvSpPr>
            <xdr:cNvPr id="3073" name="test002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781050</xdr:colOff>
          <xdr:row>6</xdr:row>
          <xdr:rowOff>19050</xdr:rowOff>
        </xdr:from>
        <xdr:to>
          <xdr:col>10</xdr:col>
          <xdr:colOff>238125</xdr:colOff>
          <xdr:row>8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53"/>
  <sheetViews>
    <sheetView tabSelected="1" workbookViewId="0">
      <selection activeCell="D20" sqref="D20"/>
    </sheetView>
  </sheetViews>
  <sheetFormatPr defaultRowHeight="13.5" x14ac:dyDescent="0.15"/>
  <cols>
    <col min="1" max="1" width="11.625" bestFit="1" customWidth="1"/>
    <col min="2" max="2" width="17.375" customWidth="1"/>
    <col min="3" max="3" width="18.375" customWidth="1"/>
    <col min="4" max="4" width="13" style="6" customWidth="1"/>
    <col min="5" max="5" width="14.625" style="6" customWidth="1"/>
    <col min="6" max="6" width="12.625" style="6" customWidth="1"/>
    <col min="7" max="7" width="15" bestFit="1" customWidth="1"/>
    <col min="8" max="8" width="1.625" customWidth="1"/>
    <col min="9" max="9" width="15" customWidth="1"/>
    <col min="10" max="10" width="19.25" bestFit="1" customWidth="1"/>
    <col min="11" max="11" width="17.25" bestFit="1" customWidth="1"/>
    <col min="12" max="12" width="19.375" bestFit="1" customWidth="1"/>
    <col min="13" max="14" width="17.25" bestFit="1" customWidth="1"/>
    <col min="15" max="15" width="11.25" customWidth="1"/>
    <col min="16" max="16" width="12.375" customWidth="1"/>
    <col min="17" max="17" width="11.875" customWidth="1"/>
  </cols>
  <sheetData>
    <row r="1" spans="1:14" x14ac:dyDescent="0.15">
      <c r="A1" s="1" t="s">
        <v>50</v>
      </c>
      <c r="B1" s="2">
        <v>4.5999999999999999E-2</v>
      </c>
      <c r="C1" s="1"/>
      <c r="D1" s="5"/>
      <c r="E1" s="5"/>
      <c r="F1" s="5"/>
      <c r="G1" s="1"/>
    </row>
    <row r="2" spans="1:14" x14ac:dyDescent="0.15">
      <c r="A2" s="1" t="s">
        <v>0</v>
      </c>
      <c r="B2" s="1">
        <v>365</v>
      </c>
      <c r="C2" s="1"/>
      <c r="D2" s="5"/>
      <c r="E2" s="5"/>
      <c r="F2" s="5"/>
      <c r="G2" s="1"/>
      <c r="I2" s="25" t="s">
        <v>52</v>
      </c>
      <c r="J2" s="26"/>
      <c r="K2" s="26"/>
      <c r="L2" s="26"/>
    </row>
    <row r="3" spans="1:14" x14ac:dyDescent="0.15">
      <c r="A3" s="1" t="s">
        <v>2</v>
      </c>
      <c r="B3" s="30">
        <v>42658</v>
      </c>
      <c r="C3" s="1"/>
      <c r="D3" s="5"/>
      <c r="E3" s="5"/>
      <c r="F3" s="5"/>
      <c r="G3" s="1"/>
      <c r="I3" s="26"/>
      <c r="J3" s="26"/>
      <c r="K3" s="26"/>
      <c r="L3" s="26"/>
    </row>
    <row r="4" spans="1:14" x14ac:dyDescent="0.15">
      <c r="A4" s="1" t="s">
        <v>1</v>
      </c>
      <c r="B4" s="30">
        <v>42745</v>
      </c>
      <c r="C4" s="1"/>
      <c r="D4" s="5" t="s">
        <v>51</v>
      </c>
      <c r="E4" s="5"/>
      <c r="F4" s="5"/>
      <c r="G4" s="1"/>
      <c r="I4" s="26"/>
      <c r="J4" s="26"/>
      <c r="K4" s="26"/>
      <c r="L4" s="26"/>
    </row>
    <row r="5" spans="1:14" x14ac:dyDescent="0.15">
      <c r="A5" s="1" t="s">
        <v>3</v>
      </c>
      <c r="B5" s="30">
        <v>43084</v>
      </c>
      <c r="C5" s="1"/>
      <c r="D5" s="5" t="s">
        <v>12</v>
      </c>
      <c r="E5" s="12">
        <f>B7+B6</f>
        <v>98.096438356164384</v>
      </c>
      <c r="F5" s="5"/>
      <c r="G5" s="1"/>
      <c r="I5" s="26"/>
      <c r="J5" s="26"/>
      <c r="K5" s="26"/>
      <c r="L5" s="26"/>
    </row>
    <row r="6" spans="1:14" x14ac:dyDescent="0.15">
      <c r="A6" s="1" t="s">
        <v>16</v>
      </c>
      <c r="B6" s="11">
        <f>100*(B4-B3)*B1/B2</f>
        <v>1.0964383561643836</v>
      </c>
      <c r="C6" s="1"/>
      <c r="D6" s="5" t="s">
        <v>8</v>
      </c>
      <c r="E6" s="5">
        <v>2000000</v>
      </c>
      <c r="F6" s="5" t="s">
        <v>10</v>
      </c>
      <c r="G6" s="12">
        <f>(B7+B6)*E6/100</f>
        <v>1961928.7671232875</v>
      </c>
    </row>
    <row r="7" spans="1:14" x14ac:dyDescent="0.15">
      <c r="A7" s="1" t="s">
        <v>4</v>
      </c>
      <c r="B7" s="4">
        <v>97</v>
      </c>
      <c r="C7" s="1"/>
      <c r="D7" s="5" t="s">
        <v>11</v>
      </c>
      <c r="E7" s="12">
        <f>SUM(E14:E352)</f>
        <v>59999.999860361437</v>
      </c>
      <c r="F7" s="5" t="s">
        <v>9</v>
      </c>
      <c r="G7" s="12">
        <f>E6+SUM(C14:C352)</f>
        <v>2085446.5753424654</v>
      </c>
    </row>
    <row r="8" spans="1:14" x14ac:dyDescent="0.15">
      <c r="A8" s="1" t="s">
        <v>6</v>
      </c>
      <c r="B8" s="9">
        <v>2.1784042690774216E-4</v>
      </c>
      <c r="C8" s="1"/>
      <c r="D8" s="5" t="s">
        <v>45</v>
      </c>
      <c r="E8" s="15">
        <f>B1/B2*100</f>
        <v>1.2602739726027396E-2</v>
      </c>
      <c r="F8" s="5"/>
      <c r="G8" s="1"/>
    </row>
    <row r="9" spans="1:14" ht="14.25" thickBot="1" x14ac:dyDescent="0.2">
      <c r="D9"/>
      <c r="E9"/>
      <c r="F9" s="7"/>
      <c r="G9" s="31"/>
    </row>
    <row r="10" spans="1:14" x14ac:dyDescent="0.15">
      <c r="D10"/>
      <c r="E10"/>
      <c r="F10" s="7"/>
      <c r="G10" s="31"/>
      <c r="I10" s="19" t="s">
        <v>48</v>
      </c>
      <c r="J10" s="20" t="s">
        <v>49</v>
      </c>
    </row>
    <row r="11" spans="1:14" ht="19.5" thickBot="1" x14ac:dyDescent="0.2">
      <c r="A11" s="31"/>
      <c r="B11" s="31"/>
      <c r="C11" s="31"/>
      <c r="D11"/>
      <c r="E11"/>
      <c r="F11" s="7"/>
      <c r="G11" s="31"/>
      <c r="I11" s="21">
        <v>42745</v>
      </c>
      <c r="J11" s="22">
        <f ca="1">E6-LOOKUP(I11,A14:A353,F14:F352)</f>
        <v>59829.444366319571</v>
      </c>
    </row>
    <row r="12" spans="1:14" ht="19.5" customHeight="1" x14ac:dyDescent="0.15">
      <c r="A12" s="32" t="s">
        <v>13</v>
      </c>
      <c r="B12" s="23"/>
      <c r="C12" s="23"/>
      <c r="D12" s="23"/>
      <c r="E12" s="24"/>
      <c r="F12" s="7"/>
      <c r="G12" s="8"/>
    </row>
    <row r="13" spans="1:14" x14ac:dyDescent="0.15">
      <c r="A13" s="1" t="s">
        <v>5</v>
      </c>
      <c r="B13" s="1" t="s">
        <v>47</v>
      </c>
      <c r="C13" s="1" t="s">
        <v>46</v>
      </c>
      <c r="D13" s="10" t="s">
        <v>15</v>
      </c>
      <c r="E13" s="5" t="s">
        <v>7</v>
      </c>
      <c r="F13" s="1" t="s">
        <v>14</v>
      </c>
      <c r="G13" s="33"/>
      <c r="H13" s="31"/>
      <c r="I13" s="34" t="s">
        <v>53</v>
      </c>
      <c r="J13" s="35" t="s">
        <v>54</v>
      </c>
      <c r="K13" s="35" t="s">
        <v>55</v>
      </c>
      <c r="L13" s="35" t="s">
        <v>56</v>
      </c>
      <c r="M13" s="35" t="s">
        <v>57</v>
      </c>
      <c r="N13" s="35" t="s">
        <v>58</v>
      </c>
    </row>
    <row r="14" spans="1:14" x14ac:dyDescent="0.15">
      <c r="A14" s="16">
        <f>B4</f>
        <v>42745</v>
      </c>
      <c r="B14" s="17">
        <f>B7*E6/100</f>
        <v>1940000</v>
      </c>
      <c r="C14" s="18">
        <f t="shared" ref="C14:C77" si="0">$E$8*$E$6/100</f>
        <v>252.05479452054792</v>
      </c>
      <c r="D14" s="18">
        <f>B14*$B$8</f>
        <v>422.61042820101977</v>
      </c>
      <c r="E14" s="18">
        <f>D14-C14</f>
        <v>170.55563368047186</v>
      </c>
      <c r="F14" s="18">
        <f>B14+E14</f>
        <v>1940170.5556336804</v>
      </c>
      <c r="G14" s="13">
        <f>B14+B14*$B$8-C14</f>
        <v>1940170.5556336804</v>
      </c>
      <c r="I14" s="34">
        <f>E14</f>
        <v>170.55563368047186</v>
      </c>
      <c r="J14" s="34">
        <f>C14+B6*E6/100</f>
        <v>22180.821917808218</v>
      </c>
      <c r="K14" s="36">
        <f>G14/$E$6*100</f>
        <v>97.008527781684023</v>
      </c>
      <c r="L14" s="36">
        <f>K14+J14/$E$6*100</f>
        <v>98.117568877574428</v>
      </c>
      <c r="M14" s="35">
        <f>K14*$E$6/100</f>
        <v>1940170.5556336804</v>
      </c>
      <c r="N14" s="35">
        <f>L14*$E$6/100</f>
        <v>1962351.3775514886</v>
      </c>
    </row>
    <row r="15" spans="1:14" x14ac:dyDescent="0.15">
      <c r="A15" s="3">
        <f>A14+1</f>
        <v>42746</v>
      </c>
      <c r="B15" s="4">
        <f>F14</f>
        <v>1940170.5556336804</v>
      </c>
      <c r="C15" s="5">
        <f t="shared" si="0"/>
        <v>252.05479452054792</v>
      </c>
      <c r="D15" s="5">
        <f>B15*$B$8</f>
        <v>422.64758211307225</v>
      </c>
      <c r="E15" s="5">
        <f>D15-C15</f>
        <v>170.59278759252433</v>
      </c>
      <c r="F15" s="5">
        <f>B15+E15</f>
        <v>1940341.1484212729</v>
      </c>
      <c r="G15" s="13">
        <f t="shared" ref="G15:G78" si="1">B15+B15*$B$8-C15</f>
        <v>1940341.1484212729</v>
      </c>
      <c r="I15" s="37">
        <f>I14+E15</f>
        <v>341.14842127299619</v>
      </c>
      <c r="J15" s="37">
        <f>J14+C15</f>
        <v>22432.876712328765</v>
      </c>
      <c r="K15" s="36">
        <f t="shared" ref="K15:K78" si="2">G15/$E$6*100</f>
        <v>97.01705742106364</v>
      </c>
      <c r="L15" s="36">
        <f t="shared" ref="L15:L78" si="3">K15+J15/$E$6*100</f>
        <v>98.138701256680079</v>
      </c>
      <c r="M15" s="35">
        <f t="shared" ref="M15:M78" si="4">K15*$E$6/100</f>
        <v>1940341.1484212729</v>
      </c>
      <c r="N15" s="35">
        <f t="shared" ref="N15:N78" si="5">L15*$E$6/100</f>
        <v>1962774.0251336016</v>
      </c>
    </row>
    <row r="16" spans="1:14" x14ac:dyDescent="0.15">
      <c r="A16" s="3">
        <f t="shared" ref="A16:A79" si="6">A15+1</f>
        <v>42747</v>
      </c>
      <c r="B16" s="4">
        <f>F15</f>
        <v>1940341.1484212729</v>
      </c>
      <c r="C16" s="5">
        <f t="shared" si="0"/>
        <v>252.05479452054792</v>
      </c>
      <c r="D16" s="5">
        <f>B16*$B$8</f>
        <v>422.68474411874877</v>
      </c>
      <c r="E16" s="5">
        <f>D16-C16</f>
        <v>170.62994959820085</v>
      </c>
      <c r="F16" s="5">
        <f>B16+E16</f>
        <v>1940511.778370871</v>
      </c>
      <c r="G16" s="13">
        <f t="shared" si="1"/>
        <v>1940511.778370871</v>
      </c>
      <c r="I16" s="37">
        <f t="shared" ref="I16:I79" si="7">I15+E16</f>
        <v>511.77837087119701</v>
      </c>
      <c r="J16" s="37">
        <f t="shared" ref="J16:J79" si="8">J15+C16</f>
        <v>22684.931506849312</v>
      </c>
      <c r="K16" s="36">
        <f t="shared" si="2"/>
        <v>97.025588918543548</v>
      </c>
      <c r="L16" s="36">
        <f t="shared" si="3"/>
        <v>98.159835493886007</v>
      </c>
      <c r="M16" s="35">
        <f t="shared" si="4"/>
        <v>1940511.778370871</v>
      </c>
      <c r="N16" s="35">
        <f t="shared" si="5"/>
        <v>1963196.7098777201</v>
      </c>
    </row>
    <row r="17" spans="1:14" x14ac:dyDescent="0.15">
      <c r="A17" s="3">
        <f t="shared" si="6"/>
        <v>42748</v>
      </c>
      <c r="B17" s="6">
        <f>F16</f>
        <v>1940511.778370871</v>
      </c>
      <c r="C17">
        <f t="shared" si="0"/>
        <v>252.05479452054792</v>
      </c>
      <c r="D17" s="6">
        <f>B17*$B$8</f>
        <v>422.7219142198125</v>
      </c>
      <c r="E17" s="6">
        <f>D17-C17</f>
        <v>170.66711969926459</v>
      </c>
      <c r="F17" s="6">
        <f>B17+E17</f>
        <v>1940682.4454905703</v>
      </c>
      <c r="G17" s="13">
        <f t="shared" si="1"/>
        <v>1940682.4454905703</v>
      </c>
      <c r="I17" s="37">
        <f t="shared" si="7"/>
        <v>682.44549057046163</v>
      </c>
      <c r="J17" s="37">
        <f t="shared" si="8"/>
        <v>22936.98630136986</v>
      </c>
      <c r="K17" s="36">
        <f t="shared" si="2"/>
        <v>97.034122274528514</v>
      </c>
      <c r="L17" s="36">
        <f t="shared" si="3"/>
        <v>98.180971589597007</v>
      </c>
      <c r="M17" s="35">
        <f t="shared" si="4"/>
        <v>1940682.4454905703</v>
      </c>
      <c r="N17" s="35">
        <f t="shared" si="5"/>
        <v>1963619.43179194</v>
      </c>
    </row>
    <row r="18" spans="1:14" x14ac:dyDescent="0.15">
      <c r="A18" s="3">
        <f t="shared" si="6"/>
        <v>42749</v>
      </c>
      <c r="B18" s="6">
        <f>F17</f>
        <v>1940682.4454905703</v>
      </c>
      <c r="C18">
        <f t="shared" si="0"/>
        <v>252.05479452054792</v>
      </c>
      <c r="D18" s="6">
        <f>B18*$B$8</f>
        <v>422.75909241802691</v>
      </c>
      <c r="E18" s="6">
        <f>D18-C18</f>
        <v>170.70429789747899</v>
      </c>
      <c r="F18" s="6">
        <f>B18+E18</f>
        <v>1940853.1497884677</v>
      </c>
      <c r="G18" s="13">
        <f t="shared" si="1"/>
        <v>1940853.1497884677</v>
      </c>
      <c r="I18" s="37">
        <f t="shared" si="7"/>
        <v>853.14978846794065</v>
      </c>
      <c r="J18" s="37">
        <f t="shared" si="8"/>
        <v>23189.041095890407</v>
      </c>
      <c r="K18" s="36">
        <f t="shared" si="2"/>
        <v>97.042657489423377</v>
      </c>
      <c r="L18" s="36">
        <f t="shared" si="3"/>
        <v>98.20210954421789</v>
      </c>
      <c r="M18" s="35">
        <f t="shared" si="4"/>
        <v>1940853.1497884677</v>
      </c>
      <c r="N18" s="35">
        <f t="shared" si="5"/>
        <v>1964042.1908843578</v>
      </c>
    </row>
    <row r="19" spans="1:14" x14ac:dyDescent="0.15">
      <c r="A19" s="3">
        <f t="shared" si="6"/>
        <v>42750</v>
      </c>
      <c r="B19" s="6">
        <f>F18</f>
        <v>1940853.1497884677</v>
      </c>
      <c r="C19">
        <f t="shared" si="0"/>
        <v>252.05479452054792</v>
      </c>
      <c r="D19" s="6">
        <f>B19*$B$8</f>
        <v>422.79627871515584</v>
      </c>
      <c r="E19" s="6">
        <f>D19-C19</f>
        <v>170.74148419460792</v>
      </c>
      <c r="F19" s="6">
        <f>B19+E19</f>
        <v>1941023.8912726622</v>
      </c>
      <c r="G19" s="13">
        <f t="shared" si="1"/>
        <v>1941023.8912726622</v>
      </c>
      <c r="I19" s="37">
        <f t="shared" si="7"/>
        <v>1023.8912726625485</v>
      </c>
      <c r="J19" s="37">
        <f t="shared" si="8"/>
        <v>23441.095890410954</v>
      </c>
      <c r="K19" s="36">
        <f t="shared" si="2"/>
        <v>97.051194563633118</v>
      </c>
      <c r="L19" s="36">
        <f t="shared" si="3"/>
        <v>98.223249358153666</v>
      </c>
      <c r="M19" s="35">
        <f t="shared" si="4"/>
        <v>1941023.8912726622</v>
      </c>
      <c r="N19" s="35">
        <f t="shared" si="5"/>
        <v>1964464.9871630734</v>
      </c>
    </row>
    <row r="20" spans="1:14" x14ac:dyDescent="0.15">
      <c r="A20" s="3">
        <f t="shared" si="6"/>
        <v>42751</v>
      </c>
      <c r="B20" s="6">
        <f>F19</f>
        <v>1941023.8912726622</v>
      </c>
      <c r="C20">
        <f t="shared" si="0"/>
        <v>252.05479452054792</v>
      </c>
      <c r="D20" s="6">
        <f>B20*$B$8</f>
        <v>422.83347311296365</v>
      </c>
      <c r="E20" s="6">
        <f>D20-C20</f>
        <v>170.77867859241573</v>
      </c>
      <c r="F20" s="6">
        <f>B20+E20</f>
        <v>1941194.6699512547</v>
      </c>
      <c r="G20" s="13">
        <f t="shared" si="1"/>
        <v>1941194.6699512545</v>
      </c>
      <c r="I20" s="37">
        <f t="shared" si="7"/>
        <v>1194.6699512549642</v>
      </c>
      <c r="J20" s="37">
        <f t="shared" si="8"/>
        <v>23693.150684931501</v>
      </c>
      <c r="K20" s="36">
        <f t="shared" si="2"/>
        <v>97.059733497562732</v>
      </c>
      <c r="L20" s="36">
        <f t="shared" si="3"/>
        <v>98.2443910318093</v>
      </c>
      <c r="M20" s="35">
        <f t="shared" si="4"/>
        <v>1941194.6699512547</v>
      </c>
      <c r="N20" s="35">
        <f t="shared" si="5"/>
        <v>1964887.8206361861</v>
      </c>
    </row>
    <row r="21" spans="1:14" x14ac:dyDescent="0.15">
      <c r="A21" s="3">
        <f t="shared" si="6"/>
        <v>42752</v>
      </c>
      <c r="B21" s="6">
        <f>F20</f>
        <v>1941194.6699512547</v>
      </c>
      <c r="C21">
        <f t="shared" si="0"/>
        <v>252.05479452054792</v>
      </c>
      <c r="D21" s="6">
        <f>B21*$B$8</f>
        <v>422.87067561321498</v>
      </c>
      <c r="E21" s="6">
        <f>D21-C21</f>
        <v>170.81588109266707</v>
      </c>
      <c r="F21" s="6">
        <f>B21+E21</f>
        <v>1941365.4858323473</v>
      </c>
      <c r="G21" s="13">
        <f t="shared" si="1"/>
        <v>1941365.4858323473</v>
      </c>
      <c r="I21" s="37">
        <f t="shared" si="7"/>
        <v>1365.4858323476312</v>
      </c>
      <c r="J21" s="37">
        <f t="shared" si="8"/>
        <v>23945.205479452048</v>
      </c>
      <c r="K21" s="36">
        <f t="shared" si="2"/>
        <v>97.068274291617357</v>
      </c>
      <c r="L21" s="36">
        <f t="shared" si="3"/>
        <v>98.265534565589959</v>
      </c>
      <c r="M21" s="35">
        <f t="shared" si="4"/>
        <v>1941365.4858323473</v>
      </c>
      <c r="N21" s="35">
        <f t="shared" si="5"/>
        <v>1965310.6913117992</v>
      </c>
    </row>
    <row r="22" spans="1:14" x14ac:dyDescent="0.15">
      <c r="A22" s="3">
        <f t="shared" si="6"/>
        <v>42753</v>
      </c>
      <c r="B22" s="6">
        <f>F21</f>
        <v>1941365.4858323473</v>
      </c>
      <c r="C22">
        <f t="shared" si="0"/>
        <v>252.05479452054792</v>
      </c>
      <c r="D22" s="6">
        <f>B22*$B$8</f>
        <v>422.90788621767479</v>
      </c>
      <c r="E22" s="6">
        <f>D22-C22</f>
        <v>170.85309169712687</v>
      </c>
      <c r="F22" s="6">
        <f>B22+E22</f>
        <v>1941536.3389240445</v>
      </c>
      <c r="G22" s="13">
        <f t="shared" si="1"/>
        <v>1941536.3389240443</v>
      </c>
      <c r="I22" s="37">
        <f t="shared" si="7"/>
        <v>1536.3389240447582</v>
      </c>
      <c r="J22" s="37">
        <f t="shared" si="8"/>
        <v>24197.260273972595</v>
      </c>
      <c r="K22" s="36">
        <f t="shared" si="2"/>
        <v>97.076816946202214</v>
      </c>
      <c r="L22" s="36">
        <f t="shared" si="3"/>
        <v>98.286679959900837</v>
      </c>
      <c r="M22" s="35">
        <f t="shared" si="4"/>
        <v>1941536.3389240443</v>
      </c>
      <c r="N22" s="35">
        <f t="shared" si="5"/>
        <v>1965733.5991980168</v>
      </c>
    </row>
    <row r="23" spans="1:14" x14ac:dyDescent="0.15">
      <c r="A23" s="3">
        <f t="shared" si="6"/>
        <v>42754</v>
      </c>
      <c r="B23" s="6">
        <f>F22</f>
        <v>1941536.3389240445</v>
      </c>
      <c r="C23">
        <f t="shared" si="0"/>
        <v>252.05479452054792</v>
      </c>
      <c r="D23" s="6">
        <f>B23*$B$8</f>
        <v>422.94510492810866</v>
      </c>
      <c r="E23" s="6">
        <f>D23-C23</f>
        <v>170.89031040756075</v>
      </c>
      <c r="F23" s="6">
        <f>B23+E23</f>
        <v>1941707.2292344521</v>
      </c>
      <c r="G23" s="13">
        <f t="shared" si="1"/>
        <v>1941707.2292344521</v>
      </c>
      <c r="I23" s="37">
        <f t="shared" si="7"/>
        <v>1707.2292344523189</v>
      </c>
      <c r="J23" s="37">
        <f t="shared" si="8"/>
        <v>24449.315068493142</v>
      </c>
      <c r="K23" s="36">
        <f t="shared" si="2"/>
        <v>97.085361461722613</v>
      </c>
      <c r="L23" s="36">
        <f t="shared" si="3"/>
        <v>98.30782721514727</v>
      </c>
      <c r="M23" s="35">
        <f t="shared" si="4"/>
        <v>1941707.2292344524</v>
      </c>
      <c r="N23" s="35">
        <f t="shared" si="5"/>
        <v>1966156.5443029455</v>
      </c>
    </row>
    <row r="24" spans="1:14" x14ac:dyDescent="0.15">
      <c r="A24" s="3">
        <f t="shared" si="6"/>
        <v>42755</v>
      </c>
      <c r="B24" s="6">
        <f>F23</f>
        <v>1941707.2292344521</v>
      </c>
      <c r="C24">
        <f t="shared" si="0"/>
        <v>252.05479452054792</v>
      </c>
      <c r="D24" s="6">
        <f>B24*$B$8</f>
        <v>422.98233174628223</v>
      </c>
      <c r="E24" s="6">
        <f>D24-C24</f>
        <v>170.92753722573431</v>
      </c>
      <c r="F24" s="6">
        <f>B24+E24</f>
        <v>1941878.1567716778</v>
      </c>
      <c r="G24" s="13">
        <f t="shared" si="1"/>
        <v>1941878.1567716778</v>
      </c>
      <c r="I24" s="37">
        <f t="shared" si="7"/>
        <v>1878.1567716780532</v>
      </c>
      <c r="J24" s="37">
        <f t="shared" si="8"/>
        <v>24701.36986301369</v>
      </c>
      <c r="K24" s="36">
        <f t="shared" si="2"/>
        <v>97.093907838583888</v>
      </c>
      <c r="L24" s="36">
        <f t="shared" si="3"/>
        <v>98.328976331734566</v>
      </c>
      <c r="M24" s="35">
        <f t="shared" si="4"/>
        <v>1941878.1567716778</v>
      </c>
      <c r="N24" s="35">
        <f t="shared" si="5"/>
        <v>1966579.5266346913</v>
      </c>
    </row>
    <row r="25" spans="1:14" x14ac:dyDescent="0.15">
      <c r="A25" s="3">
        <f t="shared" si="6"/>
        <v>42756</v>
      </c>
      <c r="B25" s="6">
        <f>F24</f>
        <v>1941878.1567716778</v>
      </c>
      <c r="C25">
        <f t="shared" si="0"/>
        <v>252.05479452054792</v>
      </c>
      <c r="D25" s="6">
        <f>B25*$B$8</f>
        <v>423.01956667396178</v>
      </c>
      <c r="E25" s="6">
        <f>D25-C25</f>
        <v>170.96477215341386</v>
      </c>
      <c r="F25" s="6">
        <f>B25+E25</f>
        <v>1942049.1215438312</v>
      </c>
      <c r="G25" s="13">
        <f t="shared" si="1"/>
        <v>1942049.1215438312</v>
      </c>
      <c r="I25" s="37">
        <f t="shared" si="7"/>
        <v>2049.1215438314671</v>
      </c>
      <c r="J25" s="37">
        <f t="shared" si="8"/>
        <v>24953.424657534237</v>
      </c>
      <c r="K25" s="36">
        <f t="shared" si="2"/>
        <v>97.102456077191562</v>
      </c>
      <c r="L25" s="36">
        <f t="shared" si="3"/>
        <v>98.350127310068274</v>
      </c>
      <c r="M25" s="35">
        <f t="shared" si="4"/>
        <v>1942049.1215438312</v>
      </c>
      <c r="N25" s="35">
        <f t="shared" si="5"/>
        <v>1967002.5462013655</v>
      </c>
    </row>
    <row r="26" spans="1:14" x14ac:dyDescent="0.15">
      <c r="A26" s="3">
        <f t="shared" si="6"/>
        <v>42757</v>
      </c>
      <c r="B26" s="6">
        <f>F25</f>
        <v>1942049.1215438312</v>
      </c>
      <c r="C26">
        <f t="shared" si="0"/>
        <v>252.05479452054792</v>
      </c>
      <c r="D26" s="6">
        <f>B26*$B$8</f>
        <v>423.05680971291383</v>
      </c>
      <c r="E26" s="6">
        <f>D26-C26</f>
        <v>171.00201519236592</v>
      </c>
      <c r="F26" s="6">
        <f>B26+E26</f>
        <v>1942220.1235590235</v>
      </c>
      <c r="G26" s="13">
        <f t="shared" si="1"/>
        <v>1942220.1235590235</v>
      </c>
      <c r="I26" s="37">
        <f t="shared" si="7"/>
        <v>2220.123559023833</v>
      </c>
      <c r="J26" s="37">
        <f t="shared" si="8"/>
        <v>25205.479452054784</v>
      </c>
      <c r="K26" s="36">
        <f t="shared" si="2"/>
        <v>97.111006177951182</v>
      </c>
      <c r="L26" s="36">
        <f t="shared" si="3"/>
        <v>98.371280150553915</v>
      </c>
      <c r="M26" s="35">
        <f t="shared" si="4"/>
        <v>1942220.1235590237</v>
      </c>
      <c r="N26" s="35">
        <f t="shared" si="5"/>
        <v>1967425.6030110782</v>
      </c>
    </row>
    <row r="27" spans="1:14" x14ac:dyDescent="0.15">
      <c r="A27" s="3">
        <f t="shared" si="6"/>
        <v>42758</v>
      </c>
      <c r="B27" s="6">
        <f>F26</f>
        <v>1942220.1235590235</v>
      </c>
      <c r="C27">
        <f t="shared" si="0"/>
        <v>252.05479452054792</v>
      </c>
      <c r="D27" s="6">
        <f>B27*$B$8</f>
        <v>423.09406086490543</v>
      </c>
      <c r="E27" s="6">
        <f>D27-C27</f>
        <v>171.03926634435751</v>
      </c>
      <c r="F27" s="6">
        <f>B27+E27</f>
        <v>1942391.1628253679</v>
      </c>
      <c r="G27" s="13">
        <f t="shared" si="1"/>
        <v>1942391.1628253679</v>
      </c>
      <c r="I27" s="37">
        <f t="shared" si="7"/>
        <v>2391.1628253681906</v>
      </c>
      <c r="J27" s="37">
        <f t="shared" si="8"/>
        <v>25457.534246575331</v>
      </c>
      <c r="K27" s="36">
        <f t="shared" si="2"/>
        <v>97.119558141268385</v>
      </c>
      <c r="L27" s="36">
        <f t="shared" si="3"/>
        <v>98.392434853597152</v>
      </c>
      <c r="M27" s="35">
        <f t="shared" si="4"/>
        <v>1942391.1628253676</v>
      </c>
      <c r="N27" s="35">
        <f t="shared" si="5"/>
        <v>1967848.697071943</v>
      </c>
    </row>
    <row r="28" spans="1:14" x14ac:dyDescent="0.15">
      <c r="A28" s="3">
        <f t="shared" si="6"/>
        <v>42759</v>
      </c>
      <c r="B28" s="6">
        <f>F27</f>
        <v>1942391.1628253679</v>
      </c>
      <c r="C28">
        <f t="shared" si="0"/>
        <v>252.05479452054792</v>
      </c>
      <c r="D28" s="6">
        <f>B28*$B$8</f>
        <v>423.13132013170383</v>
      </c>
      <c r="E28" s="6">
        <f>D28-C28</f>
        <v>171.07652561115592</v>
      </c>
      <c r="F28" s="6">
        <f>B28+E28</f>
        <v>1942562.239350979</v>
      </c>
      <c r="G28" s="13">
        <f t="shared" si="1"/>
        <v>1942562.239350979</v>
      </c>
      <c r="I28" s="37">
        <f t="shared" si="7"/>
        <v>2562.2393509793465</v>
      </c>
      <c r="J28" s="37">
        <f t="shared" si="8"/>
        <v>25709.589041095878</v>
      </c>
      <c r="K28" s="36">
        <f t="shared" si="2"/>
        <v>97.128111967548946</v>
      </c>
      <c r="L28" s="36">
        <f t="shared" si="3"/>
        <v>98.413591419603733</v>
      </c>
      <c r="M28" s="35">
        <f t="shared" si="4"/>
        <v>1942562.239350979</v>
      </c>
      <c r="N28" s="35">
        <f t="shared" si="5"/>
        <v>1968271.8283920747</v>
      </c>
    </row>
    <row r="29" spans="1:14" x14ac:dyDescent="0.15">
      <c r="A29" s="3">
        <f t="shared" si="6"/>
        <v>42760</v>
      </c>
      <c r="B29" s="6">
        <f>F28</f>
        <v>1942562.239350979</v>
      </c>
      <c r="C29">
        <f t="shared" si="0"/>
        <v>252.05479452054792</v>
      </c>
      <c r="D29" s="6">
        <f>B29*$B$8</f>
        <v>423.16858751507687</v>
      </c>
      <c r="E29" s="6">
        <f>D29-C29</f>
        <v>171.11379299452895</v>
      </c>
      <c r="F29" s="6">
        <f>B29+E29</f>
        <v>1942733.3531439735</v>
      </c>
      <c r="G29" s="13">
        <f t="shared" si="1"/>
        <v>1942733.3531439735</v>
      </c>
      <c r="I29" s="37">
        <f t="shared" si="7"/>
        <v>2733.3531439738754</v>
      </c>
      <c r="J29" s="37">
        <f t="shared" si="8"/>
        <v>25961.643835616425</v>
      </c>
      <c r="K29" s="36">
        <f t="shared" si="2"/>
        <v>97.136667657198672</v>
      </c>
      <c r="L29" s="36">
        <f t="shared" si="3"/>
        <v>98.434749848979493</v>
      </c>
      <c r="M29" s="35">
        <f t="shared" si="4"/>
        <v>1942733.3531439733</v>
      </c>
      <c r="N29" s="35">
        <f t="shared" si="5"/>
        <v>1968694.9969795898</v>
      </c>
    </row>
    <row r="30" spans="1:14" x14ac:dyDescent="0.15">
      <c r="A30" s="3">
        <f t="shared" si="6"/>
        <v>42761</v>
      </c>
      <c r="B30" s="6">
        <f>F29</f>
        <v>1942733.3531439735</v>
      </c>
      <c r="C30">
        <f t="shared" si="0"/>
        <v>252.05479452054792</v>
      </c>
      <c r="D30" s="6">
        <f>B30*$B$8</f>
        <v>423.20586301679259</v>
      </c>
      <c r="E30" s="6">
        <f>D30-C30</f>
        <v>171.15106849624468</v>
      </c>
      <c r="F30" s="6">
        <f>B30+E30</f>
        <v>1942904.5042124698</v>
      </c>
      <c r="G30" s="13">
        <f t="shared" si="1"/>
        <v>1942904.5042124698</v>
      </c>
      <c r="I30" s="37">
        <f t="shared" si="7"/>
        <v>2904.5042124701199</v>
      </c>
      <c r="J30" s="37">
        <f t="shared" si="8"/>
        <v>26213.698630136972</v>
      </c>
      <c r="K30" s="36">
        <f t="shared" si="2"/>
        <v>97.145225210623494</v>
      </c>
      <c r="L30" s="36">
        <f t="shared" si="3"/>
        <v>98.455910142130335</v>
      </c>
      <c r="M30" s="35">
        <f t="shared" si="4"/>
        <v>1942904.5042124698</v>
      </c>
      <c r="N30" s="35">
        <f t="shared" si="5"/>
        <v>1969118.2028426067</v>
      </c>
    </row>
    <row r="31" spans="1:14" x14ac:dyDescent="0.15">
      <c r="A31" s="3">
        <f t="shared" si="6"/>
        <v>42762</v>
      </c>
      <c r="B31" s="6">
        <f>F30</f>
        <v>1942904.5042124698</v>
      </c>
      <c r="C31">
        <f t="shared" si="0"/>
        <v>252.05479452054792</v>
      </c>
      <c r="D31" s="6">
        <f>B31*$B$8</f>
        <v>423.24314663861958</v>
      </c>
      <c r="E31" s="6">
        <f>D31-C31</f>
        <v>171.18835211807166</v>
      </c>
      <c r="F31" s="6">
        <f>B31+E31</f>
        <v>1943075.6925645878</v>
      </c>
      <c r="G31" s="13">
        <f t="shared" si="1"/>
        <v>1943075.6925645878</v>
      </c>
      <c r="I31" s="37">
        <f t="shared" si="7"/>
        <v>3075.6925645881915</v>
      </c>
      <c r="J31" s="37">
        <f t="shared" si="8"/>
        <v>26465.75342465752</v>
      </c>
      <c r="K31" s="36">
        <f t="shared" si="2"/>
        <v>97.153784628229388</v>
      </c>
      <c r="L31" s="36">
        <f t="shared" si="3"/>
        <v>98.477072299462264</v>
      </c>
      <c r="M31" s="35">
        <f t="shared" si="4"/>
        <v>1943075.6925645878</v>
      </c>
      <c r="N31" s="35">
        <f t="shared" si="5"/>
        <v>1969541.4459892451</v>
      </c>
    </row>
    <row r="32" spans="1:14" x14ac:dyDescent="0.15">
      <c r="A32" s="3">
        <f t="shared" si="6"/>
        <v>42763</v>
      </c>
      <c r="B32" s="6">
        <f>F31</f>
        <v>1943075.6925645878</v>
      </c>
      <c r="C32">
        <f t="shared" si="0"/>
        <v>252.05479452054792</v>
      </c>
      <c r="D32" s="6">
        <f>B32*$B$8</f>
        <v>423.28043838232657</v>
      </c>
      <c r="E32" s="6">
        <f>D32-C32</f>
        <v>171.22564386177865</v>
      </c>
      <c r="F32" s="6">
        <f>B32+E32</f>
        <v>1943246.9182084496</v>
      </c>
      <c r="G32" s="13">
        <f t="shared" si="1"/>
        <v>1943246.9182084496</v>
      </c>
      <c r="I32" s="37">
        <f t="shared" si="7"/>
        <v>3246.9182084499703</v>
      </c>
      <c r="J32" s="37">
        <f t="shared" si="8"/>
        <v>26717.808219178067</v>
      </c>
      <c r="K32" s="36">
        <f t="shared" si="2"/>
        <v>97.162345910422474</v>
      </c>
      <c r="L32" s="36">
        <f t="shared" si="3"/>
        <v>98.49823632138137</v>
      </c>
      <c r="M32" s="35">
        <f t="shared" si="4"/>
        <v>1943246.9182084494</v>
      </c>
      <c r="N32" s="35">
        <f t="shared" si="5"/>
        <v>1969964.7264276275</v>
      </c>
    </row>
    <row r="33" spans="1:14" x14ac:dyDescent="0.15">
      <c r="A33" s="3">
        <f t="shared" si="6"/>
        <v>42764</v>
      </c>
      <c r="B33" s="6">
        <f>F32</f>
        <v>1943246.9182084496</v>
      </c>
      <c r="C33">
        <f t="shared" si="0"/>
        <v>252.05479452054792</v>
      </c>
      <c r="D33" s="6">
        <f>B33*$B$8</f>
        <v>423.31773824968298</v>
      </c>
      <c r="E33" s="6">
        <f>D33-C33</f>
        <v>171.26294372913506</v>
      </c>
      <c r="F33" s="6">
        <f>B33+E33</f>
        <v>1943418.1811521787</v>
      </c>
      <c r="G33" s="13">
        <f t="shared" si="1"/>
        <v>1943418.1811521787</v>
      </c>
      <c r="I33" s="37">
        <f t="shared" si="7"/>
        <v>3418.1811521791055</v>
      </c>
      <c r="J33" s="37">
        <f t="shared" si="8"/>
        <v>26969.863013698614</v>
      </c>
      <c r="K33" s="36">
        <f t="shared" si="2"/>
        <v>97.170909057608938</v>
      </c>
      <c r="L33" s="36">
        <f t="shared" si="3"/>
        <v>98.519402208293869</v>
      </c>
      <c r="M33" s="35">
        <f t="shared" si="4"/>
        <v>1943418.1811521787</v>
      </c>
      <c r="N33" s="35">
        <f t="shared" si="5"/>
        <v>1970388.0441658774</v>
      </c>
    </row>
    <row r="34" spans="1:14" x14ac:dyDescent="0.15">
      <c r="A34" s="3">
        <f t="shared" si="6"/>
        <v>42765</v>
      </c>
      <c r="B34" s="6">
        <f>F33</f>
        <v>1943418.1811521787</v>
      </c>
      <c r="C34">
        <f t="shared" si="0"/>
        <v>252.05479452054792</v>
      </c>
      <c r="D34" s="6">
        <f>B34*$B$8</f>
        <v>423.3550462424584</v>
      </c>
      <c r="E34" s="6">
        <f>D34-C34</f>
        <v>171.30025172191048</v>
      </c>
      <c r="F34" s="6">
        <f>B34+E34</f>
        <v>1943589.4814039005</v>
      </c>
      <c r="G34" s="13">
        <f t="shared" si="1"/>
        <v>1943589.4814039005</v>
      </c>
      <c r="I34" s="37">
        <f t="shared" si="7"/>
        <v>3589.4814039010162</v>
      </c>
      <c r="J34" s="37">
        <f t="shared" si="8"/>
        <v>27221.917808219161</v>
      </c>
      <c r="K34" s="36">
        <f t="shared" si="2"/>
        <v>97.179474070195027</v>
      </c>
      <c r="L34" s="36">
        <f t="shared" si="3"/>
        <v>98.540569960605978</v>
      </c>
      <c r="M34" s="35">
        <f t="shared" si="4"/>
        <v>1943589.4814039008</v>
      </c>
      <c r="N34" s="35">
        <f t="shared" si="5"/>
        <v>1970811.3992121196</v>
      </c>
    </row>
    <row r="35" spans="1:14" x14ac:dyDescent="0.15">
      <c r="A35" s="3">
        <f t="shared" si="6"/>
        <v>42766</v>
      </c>
      <c r="B35" s="6">
        <f>F34</f>
        <v>1943589.4814039005</v>
      </c>
      <c r="C35">
        <f t="shared" si="0"/>
        <v>252.05479452054792</v>
      </c>
      <c r="D35" s="6">
        <f>B35*$B$8</f>
        <v>423.39236236242289</v>
      </c>
      <c r="E35" s="6">
        <f>D35-C35</f>
        <v>171.33756784187497</v>
      </c>
      <c r="F35" s="6">
        <f>B35+E35</f>
        <v>1943760.8189717424</v>
      </c>
      <c r="G35" s="13">
        <f t="shared" si="1"/>
        <v>1943760.8189717424</v>
      </c>
      <c r="I35" s="37">
        <f t="shared" si="7"/>
        <v>3760.8189717428913</v>
      </c>
      <c r="J35" s="37">
        <f t="shared" si="8"/>
        <v>27473.972602739708</v>
      </c>
      <c r="K35" s="36">
        <f t="shared" si="2"/>
        <v>97.188040948587116</v>
      </c>
      <c r="L35" s="36">
        <f t="shared" si="3"/>
        <v>98.561739578724101</v>
      </c>
      <c r="M35" s="35">
        <f t="shared" si="4"/>
        <v>1943760.8189717424</v>
      </c>
      <c r="N35" s="35">
        <f t="shared" si="5"/>
        <v>1971234.7915744821</v>
      </c>
    </row>
    <row r="36" spans="1:14" x14ac:dyDescent="0.15">
      <c r="A36" s="3">
        <f t="shared" si="6"/>
        <v>42767</v>
      </c>
      <c r="B36" s="6">
        <f>F35</f>
        <v>1943760.8189717424</v>
      </c>
      <c r="C36">
        <f t="shared" si="0"/>
        <v>252.05479452054792</v>
      </c>
      <c r="D36" s="6">
        <f>B36*$B$8</f>
        <v>423.42968661134688</v>
      </c>
      <c r="E36" s="6">
        <f>D36-C36</f>
        <v>171.37489209079897</v>
      </c>
      <c r="F36" s="6">
        <f>B36+E36</f>
        <v>1943932.1938638333</v>
      </c>
      <c r="G36" s="13">
        <f t="shared" si="1"/>
        <v>1943932.1938638331</v>
      </c>
      <c r="I36" s="37">
        <f t="shared" si="7"/>
        <v>3932.1938638336901</v>
      </c>
      <c r="J36" s="37">
        <f t="shared" si="8"/>
        <v>27726.027397260255</v>
      </c>
      <c r="K36" s="36">
        <f t="shared" si="2"/>
        <v>97.196609693191647</v>
      </c>
      <c r="L36" s="36">
        <f t="shared" si="3"/>
        <v>98.582911063054667</v>
      </c>
      <c r="M36" s="35">
        <f t="shared" si="4"/>
        <v>1943932.1938638329</v>
      </c>
      <c r="N36" s="35">
        <f t="shared" si="5"/>
        <v>1971658.2212610934</v>
      </c>
    </row>
    <row r="37" spans="1:14" x14ac:dyDescent="0.15">
      <c r="A37" s="3">
        <f t="shared" si="6"/>
        <v>42768</v>
      </c>
      <c r="B37" s="6">
        <f>F36</f>
        <v>1943932.1938638333</v>
      </c>
      <c r="C37">
        <f t="shared" si="0"/>
        <v>252.05479452054792</v>
      </c>
      <c r="D37" s="6">
        <f>B37*$B$8</f>
        <v>423.46701899100123</v>
      </c>
      <c r="E37" s="6">
        <f>D37-C37</f>
        <v>171.41222447045331</v>
      </c>
      <c r="F37" s="6">
        <f>B37+E37</f>
        <v>1944103.6060883037</v>
      </c>
      <c r="G37" s="13">
        <f t="shared" si="1"/>
        <v>1944103.6060883037</v>
      </c>
      <c r="I37" s="37">
        <f t="shared" si="7"/>
        <v>4103.6060883041437</v>
      </c>
      <c r="J37" s="37">
        <f t="shared" si="8"/>
        <v>27978.082191780803</v>
      </c>
      <c r="K37" s="36">
        <f t="shared" si="2"/>
        <v>97.20518030441518</v>
      </c>
      <c r="L37" s="36">
        <f t="shared" si="3"/>
        <v>98.60408441400422</v>
      </c>
      <c r="M37" s="35">
        <f t="shared" si="4"/>
        <v>1944103.6060883037</v>
      </c>
      <c r="N37" s="35">
        <f t="shared" si="5"/>
        <v>1972081.6882800844</v>
      </c>
    </row>
    <row r="38" spans="1:14" x14ac:dyDescent="0.15">
      <c r="A38" s="3">
        <f t="shared" si="6"/>
        <v>42769</v>
      </c>
      <c r="B38" s="6">
        <f>F37</f>
        <v>1944103.6060883037</v>
      </c>
      <c r="C38">
        <f t="shared" si="0"/>
        <v>252.05479452054792</v>
      </c>
      <c r="D38" s="6">
        <f>B38*$B$8</f>
        <v>423.5043595031571</v>
      </c>
      <c r="E38" s="6">
        <f>D38-C38</f>
        <v>171.44956498260919</v>
      </c>
      <c r="F38" s="6">
        <f>B38+E38</f>
        <v>1944275.0556532864</v>
      </c>
      <c r="G38" s="13">
        <f t="shared" si="1"/>
        <v>1944275.0556532862</v>
      </c>
      <c r="I38" s="37">
        <f t="shared" si="7"/>
        <v>4275.0556532867531</v>
      </c>
      <c r="J38" s="37">
        <f t="shared" si="8"/>
        <v>28230.13698630135</v>
      </c>
      <c r="K38" s="36">
        <f t="shared" si="2"/>
        <v>97.213752782664315</v>
      </c>
      <c r="L38" s="36">
        <f t="shared" si="3"/>
        <v>98.625259631979389</v>
      </c>
      <c r="M38" s="35">
        <f t="shared" si="4"/>
        <v>1944275.0556532862</v>
      </c>
      <c r="N38" s="35">
        <f t="shared" si="5"/>
        <v>1972505.1926395879</v>
      </c>
    </row>
    <row r="39" spans="1:14" x14ac:dyDescent="0.15">
      <c r="A39" s="3">
        <f t="shared" si="6"/>
        <v>42770</v>
      </c>
      <c r="B39" s="6">
        <f>F38</f>
        <v>1944275.0556532864</v>
      </c>
      <c r="C39">
        <f t="shared" si="0"/>
        <v>252.05479452054792</v>
      </c>
      <c r="D39" s="6">
        <f>B39*$B$8</f>
        <v>423.54170814958604</v>
      </c>
      <c r="E39" s="6">
        <f>D39-C39</f>
        <v>171.48691362903813</v>
      </c>
      <c r="F39" s="6">
        <f>B39+E39</f>
        <v>1944446.5425669155</v>
      </c>
      <c r="G39" s="13">
        <f t="shared" si="1"/>
        <v>1944446.5425669153</v>
      </c>
      <c r="I39" s="37">
        <f t="shared" si="7"/>
        <v>4446.5425669157912</v>
      </c>
      <c r="J39" s="37">
        <f t="shared" si="8"/>
        <v>28482.191780821897</v>
      </c>
      <c r="K39" s="36">
        <f t="shared" si="2"/>
        <v>97.222327128345768</v>
      </c>
      <c r="L39" s="36">
        <f t="shared" si="3"/>
        <v>98.646436717386862</v>
      </c>
      <c r="M39" s="35">
        <f t="shared" si="4"/>
        <v>1944446.5425669155</v>
      </c>
      <c r="N39" s="35">
        <f t="shared" si="5"/>
        <v>1972928.7343477372</v>
      </c>
    </row>
    <row r="40" spans="1:14" x14ac:dyDescent="0.15">
      <c r="A40" s="3">
        <f t="shared" si="6"/>
        <v>42771</v>
      </c>
      <c r="B40" s="6">
        <f>F39</f>
        <v>1944446.5425669155</v>
      </c>
      <c r="C40">
        <f t="shared" si="0"/>
        <v>252.05479452054792</v>
      </c>
      <c r="D40" s="6">
        <f>B40*$B$8</f>
        <v>423.57906493206013</v>
      </c>
      <c r="E40" s="6">
        <f>D40-C40</f>
        <v>171.52427041151222</v>
      </c>
      <c r="F40" s="6">
        <f>B40+E40</f>
        <v>1944618.0668373271</v>
      </c>
      <c r="G40" s="13">
        <f t="shared" si="1"/>
        <v>1944618.0668373269</v>
      </c>
      <c r="I40" s="37">
        <f t="shared" si="7"/>
        <v>4618.0668373273038</v>
      </c>
      <c r="J40" s="37">
        <f t="shared" si="8"/>
        <v>28734.246575342444</v>
      </c>
      <c r="K40" s="36">
        <f t="shared" si="2"/>
        <v>97.230903341866352</v>
      </c>
      <c r="L40" s="36">
        <f t="shared" si="3"/>
        <v>98.667615670633481</v>
      </c>
      <c r="M40" s="35">
        <f t="shared" si="4"/>
        <v>1944618.0668373271</v>
      </c>
      <c r="N40" s="35">
        <f t="shared" si="5"/>
        <v>1973352.3134126696</v>
      </c>
    </row>
    <row r="41" spans="1:14" x14ac:dyDescent="0.15">
      <c r="A41" s="3">
        <f t="shared" si="6"/>
        <v>42772</v>
      </c>
      <c r="B41" s="6">
        <f>F40</f>
        <v>1944618.0668373271</v>
      </c>
      <c r="C41">
        <f t="shared" si="0"/>
        <v>252.05479452054792</v>
      </c>
      <c r="D41" s="6">
        <f>B41*$B$8</f>
        <v>423.61642985235164</v>
      </c>
      <c r="E41" s="6">
        <f>D41-C41</f>
        <v>171.56163533180373</v>
      </c>
      <c r="F41" s="6">
        <f>B41+E41</f>
        <v>1944789.6284726588</v>
      </c>
      <c r="G41" s="13">
        <f t="shared" si="1"/>
        <v>1944789.6284726588</v>
      </c>
      <c r="I41" s="37">
        <f t="shared" si="7"/>
        <v>4789.6284726591075</v>
      </c>
      <c r="J41" s="37">
        <f t="shared" si="8"/>
        <v>28986.301369862991</v>
      </c>
      <c r="K41" s="36">
        <f t="shared" si="2"/>
        <v>97.239481423632952</v>
      </c>
      <c r="L41" s="36">
        <f t="shared" si="3"/>
        <v>98.688796492126102</v>
      </c>
      <c r="M41" s="35">
        <f t="shared" si="4"/>
        <v>1944789.628472659</v>
      </c>
      <c r="N41" s="35">
        <f t="shared" si="5"/>
        <v>1973775.9298425221</v>
      </c>
    </row>
    <row r="42" spans="1:14" x14ac:dyDescent="0.15">
      <c r="A42" s="3">
        <f t="shared" si="6"/>
        <v>42773</v>
      </c>
      <c r="B42" s="6">
        <f>F41</f>
        <v>1944789.6284726588</v>
      </c>
      <c r="C42">
        <f t="shared" si="0"/>
        <v>252.05479452054792</v>
      </c>
      <c r="D42" s="6">
        <f>B42*$B$8</f>
        <v>423.65380291223329</v>
      </c>
      <c r="E42" s="6">
        <f>D42-C42</f>
        <v>171.59900839168537</v>
      </c>
      <c r="F42" s="6">
        <f>B42+E42</f>
        <v>1944961.2274810504</v>
      </c>
      <c r="G42" s="13">
        <f t="shared" si="1"/>
        <v>1944961.2274810504</v>
      </c>
      <c r="I42" s="37">
        <f t="shared" si="7"/>
        <v>4961.2274810507924</v>
      </c>
      <c r="J42" s="37">
        <f t="shared" si="8"/>
        <v>29238.356164383538</v>
      </c>
      <c r="K42" s="36">
        <f t="shared" si="2"/>
        <v>97.248061374052526</v>
      </c>
      <c r="L42" s="36">
        <f t="shared" si="3"/>
        <v>98.709979182271709</v>
      </c>
      <c r="M42" s="35">
        <f t="shared" si="4"/>
        <v>1944961.2274810504</v>
      </c>
      <c r="N42" s="35">
        <f t="shared" si="5"/>
        <v>1974199.5836454341</v>
      </c>
    </row>
    <row r="43" spans="1:14" x14ac:dyDescent="0.15">
      <c r="A43" s="3">
        <f t="shared" si="6"/>
        <v>42774</v>
      </c>
      <c r="B43" s="6">
        <f>F42</f>
        <v>1944961.2274810504</v>
      </c>
      <c r="C43">
        <f t="shared" si="0"/>
        <v>252.05479452054792</v>
      </c>
      <c r="D43" s="6">
        <f>B43*$B$8</f>
        <v>423.69118411347824</v>
      </c>
      <c r="E43" s="6">
        <f>D43-C43</f>
        <v>171.63638959293033</v>
      </c>
      <c r="F43" s="6">
        <f>B43+E43</f>
        <v>1945132.8638706433</v>
      </c>
      <c r="G43" s="13">
        <f t="shared" si="1"/>
        <v>1945132.8638706433</v>
      </c>
      <c r="I43" s="37">
        <f t="shared" si="7"/>
        <v>5132.8638706437232</v>
      </c>
      <c r="J43" s="37">
        <f t="shared" si="8"/>
        <v>29490.410958904085</v>
      </c>
      <c r="K43" s="36">
        <f t="shared" si="2"/>
        <v>97.25664319353217</v>
      </c>
      <c r="L43" s="36">
        <f t="shared" si="3"/>
        <v>98.731163741477374</v>
      </c>
      <c r="M43" s="35">
        <f t="shared" si="4"/>
        <v>1945132.8638706433</v>
      </c>
      <c r="N43" s="35">
        <f t="shared" si="5"/>
        <v>1974623.2748295474</v>
      </c>
    </row>
    <row r="44" spans="1:14" x14ac:dyDescent="0.15">
      <c r="A44" s="3">
        <f t="shared" si="6"/>
        <v>42775</v>
      </c>
      <c r="B44" s="6">
        <f>F43</f>
        <v>1945132.8638706433</v>
      </c>
      <c r="C44">
        <f t="shared" si="0"/>
        <v>252.05479452054792</v>
      </c>
      <c r="D44" s="6">
        <f>B44*$B$8</f>
        <v>423.72857345786008</v>
      </c>
      <c r="E44" s="6">
        <f>D44-C44</f>
        <v>171.67377893731216</v>
      </c>
      <c r="F44" s="6">
        <f>B44+E44</f>
        <v>1945304.5376495805</v>
      </c>
      <c r="G44" s="13">
        <f t="shared" si="1"/>
        <v>1945304.5376495805</v>
      </c>
      <c r="I44" s="37">
        <f t="shared" si="7"/>
        <v>5304.5376495810351</v>
      </c>
      <c r="J44" s="37">
        <f t="shared" si="8"/>
        <v>29742.465753424633</v>
      </c>
      <c r="K44" s="36">
        <f t="shared" si="2"/>
        <v>97.265226882479027</v>
      </c>
      <c r="L44" s="36">
        <f t="shared" si="3"/>
        <v>98.752350170150265</v>
      </c>
      <c r="M44" s="35">
        <f t="shared" si="4"/>
        <v>1945304.5376495805</v>
      </c>
      <c r="N44" s="35">
        <f t="shared" si="5"/>
        <v>1975047.0034030052</v>
      </c>
    </row>
    <row r="45" spans="1:14" x14ac:dyDescent="0.15">
      <c r="A45" s="3">
        <f t="shared" si="6"/>
        <v>42776</v>
      </c>
      <c r="B45" s="6">
        <f>F44</f>
        <v>1945304.5376495805</v>
      </c>
      <c r="C45">
        <f t="shared" si="0"/>
        <v>252.05479452054792</v>
      </c>
      <c r="D45" s="6">
        <f>B45*$B$8</f>
        <v>423.7659709471526</v>
      </c>
      <c r="E45" s="6">
        <f>D45-C45</f>
        <v>171.71117642660468</v>
      </c>
      <c r="F45" s="6">
        <f>B45+E45</f>
        <v>1945476.2488260071</v>
      </c>
      <c r="G45" s="13">
        <f t="shared" si="1"/>
        <v>1945476.2488260071</v>
      </c>
      <c r="I45" s="37">
        <f t="shared" si="7"/>
        <v>5476.2488260076398</v>
      </c>
      <c r="J45" s="37">
        <f t="shared" si="8"/>
        <v>29994.52054794518</v>
      </c>
      <c r="K45" s="36">
        <f t="shared" si="2"/>
        <v>97.27381244130035</v>
      </c>
      <c r="L45" s="36">
        <f t="shared" si="3"/>
        <v>98.773538468697609</v>
      </c>
      <c r="M45" s="35">
        <f t="shared" si="4"/>
        <v>1945476.2488260069</v>
      </c>
      <c r="N45" s="35">
        <f t="shared" si="5"/>
        <v>1975470.7693739522</v>
      </c>
    </row>
    <row r="46" spans="1:14" x14ac:dyDescent="0.15">
      <c r="A46" s="3">
        <f t="shared" si="6"/>
        <v>42777</v>
      </c>
      <c r="B46" s="6">
        <f>F45</f>
        <v>1945476.2488260071</v>
      </c>
      <c r="C46">
        <f t="shared" si="0"/>
        <v>252.05479452054792</v>
      </c>
      <c r="D46" s="6">
        <f>B46*$B$8</f>
        <v>423.80337658313022</v>
      </c>
      <c r="E46" s="6">
        <f>D46-C46</f>
        <v>171.7485820625823</v>
      </c>
      <c r="F46" s="6">
        <f>B46+E46</f>
        <v>1945647.9974080697</v>
      </c>
      <c r="G46" s="13">
        <f t="shared" si="1"/>
        <v>1945647.9974080697</v>
      </c>
      <c r="I46" s="37">
        <f t="shared" si="7"/>
        <v>5647.9974080702223</v>
      </c>
      <c r="J46" s="37">
        <f t="shared" si="8"/>
        <v>30246.575342465727</v>
      </c>
      <c r="K46" s="36">
        <f t="shared" si="2"/>
        <v>97.282399870403481</v>
      </c>
      <c r="L46" s="36">
        <f t="shared" si="3"/>
        <v>98.794728637526774</v>
      </c>
      <c r="M46" s="35">
        <f t="shared" si="4"/>
        <v>1945647.9974080697</v>
      </c>
      <c r="N46" s="35">
        <f t="shared" si="5"/>
        <v>1975894.5727505356</v>
      </c>
    </row>
    <row r="47" spans="1:14" x14ac:dyDescent="0.15">
      <c r="A47" s="3">
        <f t="shared" si="6"/>
        <v>42778</v>
      </c>
      <c r="B47" s="6">
        <f>F46</f>
        <v>1945647.9974080697</v>
      </c>
      <c r="C47">
        <f t="shared" si="0"/>
        <v>252.05479452054792</v>
      </c>
      <c r="D47" s="6">
        <f>B47*$B$8</f>
        <v>423.84079036756754</v>
      </c>
      <c r="E47" s="6">
        <f>D47-C47</f>
        <v>171.78599584701962</v>
      </c>
      <c r="F47" s="6">
        <f>B47+E47</f>
        <v>1945819.7834039168</v>
      </c>
      <c r="G47" s="13">
        <f t="shared" si="1"/>
        <v>1945819.7834039165</v>
      </c>
      <c r="I47" s="37">
        <f t="shared" si="7"/>
        <v>5819.7834039172421</v>
      </c>
      <c r="J47" s="37">
        <f t="shared" si="8"/>
        <v>30498.630136986274</v>
      </c>
      <c r="K47" s="36">
        <f t="shared" si="2"/>
        <v>97.290989170195829</v>
      </c>
      <c r="L47" s="36">
        <f t="shared" si="3"/>
        <v>98.815920677045142</v>
      </c>
      <c r="M47" s="35">
        <f t="shared" si="4"/>
        <v>1945819.7834039168</v>
      </c>
      <c r="N47" s="35">
        <f t="shared" si="5"/>
        <v>1976318.4135409028</v>
      </c>
    </row>
    <row r="48" spans="1:14" x14ac:dyDescent="0.15">
      <c r="A48" s="3">
        <f t="shared" si="6"/>
        <v>42779</v>
      </c>
      <c r="B48" s="6">
        <f>F47</f>
        <v>1945819.7834039168</v>
      </c>
      <c r="C48">
        <f t="shared" si="0"/>
        <v>252.05479452054792</v>
      </c>
      <c r="D48" s="6">
        <f>B48*$B$8</f>
        <v>423.8782123022396</v>
      </c>
      <c r="E48" s="6">
        <f>D48-C48</f>
        <v>171.82341778169169</v>
      </c>
      <c r="F48" s="6">
        <f>B48+E48</f>
        <v>1945991.6068216984</v>
      </c>
      <c r="G48" s="13">
        <f t="shared" si="1"/>
        <v>1945991.6068216984</v>
      </c>
      <c r="I48" s="37">
        <f t="shared" si="7"/>
        <v>5991.6068216989343</v>
      </c>
      <c r="J48" s="37">
        <f t="shared" si="8"/>
        <v>30750.684931506821</v>
      </c>
      <c r="K48" s="36">
        <f t="shared" si="2"/>
        <v>97.299580341084919</v>
      </c>
      <c r="L48" s="36">
        <f t="shared" si="3"/>
        <v>98.837114587660267</v>
      </c>
      <c r="M48" s="35">
        <f t="shared" si="4"/>
        <v>1945991.6068216981</v>
      </c>
      <c r="N48" s="35">
        <f t="shared" si="5"/>
        <v>1976742.2917532055</v>
      </c>
    </row>
    <row r="49" spans="1:14" x14ac:dyDescent="0.15">
      <c r="A49" s="3">
        <f t="shared" si="6"/>
        <v>42780</v>
      </c>
      <c r="B49" s="6">
        <f>F48</f>
        <v>1945991.6068216984</v>
      </c>
      <c r="C49">
        <f t="shared" si="0"/>
        <v>252.05479452054792</v>
      </c>
      <c r="D49" s="6">
        <f>B49*$B$8</f>
        <v>423.91564238892192</v>
      </c>
      <c r="E49" s="6">
        <f>D49-C49</f>
        <v>171.86084786837401</v>
      </c>
      <c r="F49" s="6">
        <f>B49+E49</f>
        <v>1946163.4676695666</v>
      </c>
      <c r="G49" s="13">
        <f t="shared" si="1"/>
        <v>1946163.4676695666</v>
      </c>
      <c r="I49" s="37">
        <f t="shared" si="7"/>
        <v>6163.4676695673079</v>
      </c>
      <c r="J49" s="37">
        <f t="shared" si="8"/>
        <v>31002.739726027368</v>
      </c>
      <c r="K49" s="36">
        <f t="shared" si="2"/>
        <v>97.308173383478334</v>
      </c>
      <c r="L49" s="36">
        <f t="shared" si="3"/>
        <v>98.858310369779701</v>
      </c>
      <c r="M49" s="35">
        <f t="shared" si="4"/>
        <v>1946163.4676695666</v>
      </c>
      <c r="N49" s="35">
        <f t="shared" si="5"/>
        <v>1977166.2073955941</v>
      </c>
    </row>
    <row r="50" spans="1:14" x14ac:dyDescent="0.15">
      <c r="A50" s="3">
        <f t="shared" si="6"/>
        <v>42781</v>
      </c>
      <c r="B50" s="6">
        <f>F49</f>
        <v>1946163.4676695666</v>
      </c>
      <c r="C50">
        <f t="shared" si="0"/>
        <v>252.05479452054792</v>
      </c>
      <c r="D50" s="6">
        <f>B50*$B$8</f>
        <v>423.95308062939029</v>
      </c>
      <c r="E50" s="6">
        <f>D50-C50</f>
        <v>171.89828610884237</v>
      </c>
      <c r="F50" s="6">
        <f>B50+E50</f>
        <v>1946335.3659556755</v>
      </c>
      <c r="G50" s="13">
        <f t="shared" si="1"/>
        <v>1946335.3659556755</v>
      </c>
      <c r="I50" s="37">
        <f t="shared" si="7"/>
        <v>6335.3659556761504</v>
      </c>
      <c r="J50" s="37">
        <f t="shared" si="8"/>
        <v>31254.794520547915</v>
      </c>
      <c r="K50" s="36">
        <f t="shared" si="2"/>
        <v>97.316768297783767</v>
      </c>
      <c r="L50" s="36">
        <f t="shared" si="3"/>
        <v>98.879508023811169</v>
      </c>
      <c r="M50" s="35">
        <f t="shared" si="4"/>
        <v>1946335.3659556753</v>
      </c>
      <c r="N50" s="35">
        <f t="shared" si="5"/>
        <v>1977590.1604762236</v>
      </c>
    </row>
    <row r="51" spans="1:14" x14ac:dyDescent="0.15">
      <c r="A51" s="3">
        <f t="shared" si="6"/>
        <v>42782</v>
      </c>
      <c r="B51" s="6">
        <f>F50</f>
        <v>1946335.3659556755</v>
      </c>
      <c r="C51">
        <f t="shared" si="0"/>
        <v>252.05479452054792</v>
      </c>
      <c r="D51" s="6">
        <f>B51*$B$8</f>
        <v>423.99052702542093</v>
      </c>
      <c r="E51" s="6">
        <f>D51-C51</f>
        <v>171.93573250487302</v>
      </c>
      <c r="F51" s="6">
        <f>B51+E51</f>
        <v>1946507.3016881803</v>
      </c>
      <c r="G51" s="13">
        <f t="shared" si="1"/>
        <v>1946507.3016881803</v>
      </c>
      <c r="I51" s="37">
        <f t="shared" si="7"/>
        <v>6507.3016881810236</v>
      </c>
      <c r="J51" s="37">
        <f t="shared" si="8"/>
        <v>31506.849315068463</v>
      </c>
      <c r="K51" s="36">
        <f t="shared" si="2"/>
        <v>97.325365084409015</v>
      </c>
      <c r="L51" s="36">
        <f t="shared" si="3"/>
        <v>98.900707550162437</v>
      </c>
      <c r="M51" s="35">
        <f t="shared" si="4"/>
        <v>1946507.3016881803</v>
      </c>
      <c r="N51" s="35">
        <f t="shared" si="5"/>
        <v>1978014.1510032488</v>
      </c>
    </row>
    <row r="52" spans="1:14" x14ac:dyDescent="0.15">
      <c r="A52" s="3">
        <f t="shared" si="6"/>
        <v>42783</v>
      </c>
      <c r="B52" s="6">
        <f>F51</f>
        <v>1946507.3016881803</v>
      </c>
      <c r="C52">
        <f t="shared" si="0"/>
        <v>252.05479452054792</v>
      </c>
      <c r="D52" s="6">
        <f>B52*$B$8</f>
        <v>424.02798157879045</v>
      </c>
      <c r="E52" s="6">
        <f>D52-C52</f>
        <v>171.97318705824253</v>
      </c>
      <c r="F52" s="6">
        <f>B52+E52</f>
        <v>1946679.2748752385</v>
      </c>
      <c r="G52" s="13">
        <f t="shared" si="1"/>
        <v>1946679.2748752385</v>
      </c>
      <c r="I52" s="37">
        <f t="shared" si="7"/>
        <v>6679.2748752392663</v>
      </c>
      <c r="J52" s="37">
        <f t="shared" si="8"/>
        <v>31758.90410958901</v>
      </c>
      <c r="K52" s="36">
        <f t="shared" si="2"/>
        <v>97.333963743761927</v>
      </c>
      <c r="L52" s="36">
        <f t="shared" si="3"/>
        <v>98.921908949241384</v>
      </c>
      <c r="M52" s="35">
        <f t="shared" si="4"/>
        <v>1946679.2748752385</v>
      </c>
      <c r="N52" s="35">
        <f t="shared" si="5"/>
        <v>1978438.1789848276</v>
      </c>
    </row>
    <row r="53" spans="1:14" x14ac:dyDescent="0.15">
      <c r="A53" s="3">
        <f t="shared" si="6"/>
        <v>42784</v>
      </c>
      <c r="B53" s="6">
        <f>F52</f>
        <v>1946679.2748752385</v>
      </c>
      <c r="C53">
        <f t="shared" si="0"/>
        <v>252.05479452054792</v>
      </c>
      <c r="D53" s="6">
        <f>B53*$B$8</f>
        <v>424.06544429127592</v>
      </c>
      <c r="E53" s="6">
        <f>D53-C53</f>
        <v>172.01064977072801</v>
      </c>
      <c r="F53" s="6">
        <f>B53+E53</f>
        <v>1946851.2855250093</v>
      </c>
      <c r="G53" s="13">
        <f t="shared" si="1"/>
        <v>1946851.2855250093</v>
      </c>
      <c r="I53" s="37">
        <f t="shared" si="7"/>
        <v>6851.2855250099947</v>
      </c>
      <c r="J53" s="37">
        <f t="shared" si="8"/>
        <v>32010.958904109557</v>
      </c>
      <c r="K53" s="36">
        <f t="shared" si="2"/>
        <v>97.342564276250471</v>
      </c>
      <c r="L53" s="36">
        <f t="shared" si="3"/>
        <v>98.943112221455948</v>
      </c>
      <c r="M53" s="35">
        <f t="shared" si="4"/>
        <v>1946851.2855250093</v>
      </c>
      <c r="N53" s="35">
        <f t="shared" si="5"/>
        <v>1978862.2444291189</v>
      </c>
    </row>
    <row r="54" spans="1:14" x14ac:dyDescent="0.15">
      <c r="A54" s="3">
        <f t="shared" si="6"/>
        <v>42785</v>
      </c>
      <c r="B54" s="6">
        <f>F53</f>
        <v>1946851.2855250093</v>
      </c>
      <c r="C54">
        <f t="shared" si="0"/>
        <v>252.05479452054792</v>
      </c>
      <c r="D54" s="6">
        <f>B54*$B$8</f>
        <v>424.10291516465463</v>
      </c>
      <c r="E54" s="6">
        <f>D54-C54</f>
        <v>172.04812064410672</v>
      </c>
      <c r="F54" s="6">
        <f>B54+E54</f>
        <v>1947023.3336456534</v>
      </c>
      <c r="G54" s="13">
        <f t="shared" si="1"/>
        <v>1947023.3336456532</v>
      </c>
      <c r="I54" s="37">
        <f t="shared" si="7"/>
        <v>7023.333645654101</v>
      </c>
      <c r="J54" s="37">
        <f t="shared" si="8"/>
        <v>32263.013698630104</v>
      </c>
      <c r="K54" s="36">
        <f t="shared" si="2"/>
        <v>97.351166682282667</v>
      </c>
      <c r="L54" s="36">
        <f t="shared" si="3"/>
        <v>98.964317367214178</v>
      </c>
      <c r="M54" s="35">
        <f t="shared" si="4"/>
        <v>1947023.3336456534</v>
      </c>
      <c r="N54" s="35">
        <f t="shared" si="5"/>
        <v>1979286.3473442835</v>
      </c>
    </row>
    <row r="55" spans="1:14" x14ac:dyDescent="0.15">
      <c r="A55" s="3">
        <f t="shared" si="6"/>
        <v>42786</v>
      </c>
      <c r="B55" s="6">
        <f>F54</f>
        <v>1947023.3336456534</v>
      </c>
      <c r="C55">
        <f t="shared" si="0"/>
        <v>252.05479452054792</v>
      </c>
      <c r="D55" s="6">
        <f>B55*$B$8</f>
        <v>424.14039420070446</v>
      </c>
      <c r="E55" s="6">
        <f>D55-C55</f>
        <v>172.08559968015655</v>
      </c>
      <c r="F55" s="6">
        <f>B55+E55</f>
        <v>1947195.4192453336</v>
      </c>
      <c r="G55" s="13">
        <f t="shared" si="1"/>
        <v>1947195.4192453336</v>
      </c>
      <c r="I55" s="37">
        <f t="shared" si="7"/>
        <v>7195.4192453342575</v>
      </c>
      <c r="J55" s="37">
        <f t="shared" si="8"/>
        <v>32515.068493150651</v>
      </c>
      <c r="K55" s="36">
        <f t="shared" si="2"/>
        <v>97.35977096226668</v>
      </c>
      <c r="L55" s="36">
        <f t="shared" si="3"/>
        <v>98.985524386924212</v>
      </c>
      <c r="M55" s="35">
        <f t="shared" si="4"/>
        <v>1947195.4192453336</v>
      </c>
      <c r="N55" s="35">
        <f t="shared" si="5"/>
        <v>1979710.4877384841</v>
      </c>
    </row>
    <row r="56" spans="1:14" x14ac:dyDescent="0.15">
      <c r="A56" s="3">
        <f t="shared" si="6"/>
        <v>42787</v>
      </c>
      <c r="B56" s="6">
        <f>F55</f>
        <v>1947195.4192453336</v>
      </c>
      <c r="C56">
        <f t="shared" si="0"/>
        <v>252.05479452054792</v>
      </c>
      <c r="D56" s="6">
        <f>B56*$B$8</f>
        <v>424.17788140120348</v>
      </c>
      <c r="E56" s="6">
        <f>D56-C56</f>
        <v>172.12308688065556</v>
      </c>
      <c r="F56" s="6">
        <f>B56+E56</f>
        <v>1947367.5423322143</v>
      </c>
      <c r="G56" s="13">
        <f t="shared" si="1"/>
        <v>1947367.5423322143</v>
      </c>
      <c r="I56" s="37">
        <f t="shared" si="7"/>
        <v>7367.5423322149127</v>
      </c>
      <c r="J56" s="37">
        <f t="shared" si="8"/>
        <v>32767.123287671198</v>
      </c>
      <c r="K56" s="36">
        <f t="shared" si="2"/>
        <v>97.368377116610716</v>
      </c>
      <c r="L56" s="36">
        <f t="shared" si="3"/>
        <v>99.006733280994283</v>
      </c>
      <c r="M56" s="35">
        <f t="shared" si="4"/>
        <v>1947367.5423322143</v>
      </c>
      <c r="N56" s="35">
        <f t="shared" si="5"/>
        <v>1980134.6656198855</v>
      </c>
    </row>
    <row r="57" spans="1:14" x14ac:dyDescent="0.15">
      <c r="A57" s="3">
        <f t="shared" si="6"/>
        <v>42788</v>
      </c>
      <c r="B57" s="6">
        <f>F56</f>
        <v>1947367.5423322143</v>
      </c>
      <c r="C57">
        <f t="shared" si="0"/>
        <v>252.05479452054792</v>
      </c>
      <c r="D57" s="6">
        <f>B57*$B$8</f>
        <v>424.21537676793025</v>
      </c>
      <c r="E57" s="6">
        <f>D57-C57</f>
        <v>172.16058224738234</v>
      </c>
      <c r="F57" s="6">
        <f>B57+E57</f>
        <v>1947539.7029144617</v>
      </c>
      <c r="G57" s="13">
        <f t="shared" si="1"/>
        <v>1947539.7029144617</v>
      </c>
      <c r="I57" s="37">
        <f t="shared" si="7"/>
        <v>7539.7029144622948</v>
      </c>
      <c r="J57" s="37">
        <f t="shared" si="8"/>
        <v>33019.178082191749</v>
      </c>
      <c r="K57" s="36">
        <f t="shared" si="2"/>
        <v>97.376985145723083</v>
      </c>
      <c r="L57" s="36">
        <f t="shared" si="3"/>
        <v>99.027944049832669</v>
      </c>
      <c r="M57" s="35">
        <f t="shared" si="4"/>
        <v>1947539.7029144617</v>
      </c>
      <c r="N57" s="35">
        <f t="shared" si="5"/>
        <v>1980558.8809966533</v>
      </c>
    </row>
    <row r="58" spans="1:14" x14ac:dyDescent="0.15">
      <c r="A58" s="3">
        <f t="shared" si="6"/>
        <v>42789</v>
      </c>
      <c r="B58" s="6">
        <f>F57</f>
        <v>1947539.7029144617</v>
      </c>
      <c r="C58">
        <f t="shared" si="0"/>
        <v>252.05479452054792</v>
      </c>
      <c r="D58" s="6">
        <f>B58*$B$8</f>
        <v>424.2528803026637</v>
      </c>
      <c r="E58" s="6">
        <f>D58-C58</f>
        <v>172.19808578211578</v>
      </c>
      <c r="F58" s="6">
        <f>B58+E58</f>
        <v>1947711.9010002438</v>
      </c>
      <c r="G58" s="13">
        <f t="shared" si="1"/>
        <v>1947711.9010002438</v>
      </c>
      <c r="I58" s="37">
        <f t="shared" si="7"/>
        <v>7711.9010002444102</v>
      </c>
      <c r="J58" s="37">
        <f t="shared" si="8"/>
        <v>33271.232876712296</v>
      </c>
      <c r="K58" s="36">
        <f t="shared" si="2"/>
        <v>97.385595050012199</v>
      </c>
      <c r="L58" s="36">
        <f t="shared" si="3"/>
        <v>99.04915669384782</v>
      </c>
      <c r="M58" s="35">
        <f t="shared" si="4"/>
        <v>1947711.9010002441</v>
      </c>
      <c r="N58" s="35">
        <f t="shared" si="5"/>
        <v>1980983.1338769563</v>
      </c>
    </row>
    <row r="59" spans="1:14" x14ac:dyDescent="0.15">
      <c r="A59" s="3">
        <f t="shared" si="6"/>
        <v>42790</v>
      </c>
      <c r="B59" s="6">
        <f>F58</f>
        <v>1947711.9010002438</v>
      </c>
      <c r="C59">
        <f t="shared" si="0"/>
        <v>252.05479452054792</v>
      </c>
      <c r="D59" s="6">
        <f>B59*$B$8</f>
        <v>424.29039200718319</v>
      </c>
      <c r="E59" s="6">
        <f>D59-C59</f>
        <v>172.23559748663527</v>
      </c>
      <c r="F59" s="6">
        <f>B59+E59</f>
        <v>1947884.1365977305</v>
      </c>
      <c r="G59" s="13">
        <f t="shared" si="1"/>
        <v>1947884.1365977305</v>
      </c>
      <c r="I59" s="37">
        <f t="shared" si="7"/>
        <v>7884.1365977310452</v>
      </c>
      <c r="J59" s="37">
        <f t="shared" si="8"/>
        <v>33523.287671232843</v>
      </c>
      <c r="K59" s="36">
        <f t="shared" si="2"/>
        <v>97.394206829886514</v>
      </c>
      <c r="L59" s="36">
        <f t="shared" si="3"/>
        <v>99.070371213448155</v>
      </c>
      <c r="M59" s="35">
        <f t="shared" si="4"/>
        <v>1947884.1365977302</v>
      </c>
      <c r="N59" s="35">
        <f t="shared" si="5"/>
        <v>1981407.424268963</v>
      </c>
    </row>
    <row r="60" spans="1:14" x14ac:dyDescent="0.15">
      <c r="A60" s="3">
        <f t="shared" si="6"/>
        <v>42791</v>
      </c>
      <c r="B60" s="6">
        <f>F59</f>
        <v>1947884.1365977305</v>
      </c>
      <c r="C60">
        <f t="shared" si="0"/>
        <v>252.05479452054792</v>
      </c>
      <c r="D60" s="6">
        <f>B60*$B$8</f>
        <v>424.32791188326837</v>
      </c>
      <c r="E60" s="6">
        <f>D60-C60</f>
        <v>172.27311736272046</v>
      </c>
      <c r="F60" s="6">
        <f>B60+E60</f>
        <v>1948056.4097150932</v>
      </c>
      <c r="G60" s="13">
        <f t="shared" si="1"/>
        <v>1948056.4097150932</v>
      </c>
      <c r="I60" s="37">
        <f t="shared" si="7"/>
        <v>8056.409715093766</v>
      </c>
      <c r="J60" s="37">
        <f t="shared" si="8"/>
        <v>33775.342465753391</v>
      </c>
      <c r="K60" s="36">
        <f t="shared" si="2"/>
        <v>97.40282048575466</v>
      </c>
      <c r="L60" s="36">
        <f t="shared" si="3"/>
        <v>99.091587609042335</v>
      </c>
      <c r="M60" s="35">
        <f t="shared" si="4"/>
        <v>1948056.409715093</v>
      </c>
      <c r="N60" s="35">
        <f t="shared" si="5"/>
        <v>1981831.7521808466</v>
      </c>
    </row>
    <row r="61" spans="1:14" x14ac:dyDescent="0.15">
      <c r="A61" s="3">
        <f t="shared" si="6"/>
        <v>42792</v>
      </c>
      <c r="B61" s="6">
        <f>F60</f>
        <v>1948056.4097150932</v>
      </c>
      <c r="C61">
        <f t="shared" si="0"/>
        <v>252.05479452054792</v>
      </c>
      <c r="D61" s="6">
        <f>B61*$B$8</f>
        <v>424.36543993269936</v>
      </c>
      <c r="E61" s="6">
        <f>D61-C61</f>
        <v>172.31064541215144</v>
      </c>
      <c r="F61" s="6">
        <f>B61+E61</f>
        <v>1948228.7203605054</v>
      </c>
      <c r="G61" s="13">
        <f t="shared" si="1"/>
        <v>1948228.7203605054</v>
      </c>
      <c r="I61" s="37">
        <f t="shared" si="7"/>
        <v>8228.7203605059167</v>
      </c>
      <c r="J61" s="37">
        <f t="shared" si="8"/>
        <v>34027.397260273938</v>
      </c>
      <c r="K61" s="36">
        <f t="shared" si="2"/>
        <v>97.41143601802527</v>
      </c>
      <c r="L61" s="36">
        <f t="shared" si="3"/>
        <v>99.112805881038966</v>
      </c>
      <c r="M61" s="35">
        <f t="shared" si="4"/>
        <v>1948228.7203605054</v>
      </c>
      <c r="N61" s="35">
        <f t="shared" si="5"/>
        <v>1982256.1176207792</v>
      </c>
    </row>
    <row r="62" spans="1:14" x14ac:dyDescent="0.15">
      <c r="A62" s="3">
        <f t="shared" si="6"/>
        <v>42793</v>
      </c>
      <c r="B62" s="6">
        <f>F61</f>
        <v>1948228.7203605054</v>
      </c>
      <c r="C62">
        <f t="shared" si="0"/>
        <v>252.05479452054792</v>
      </c>
      <c r="D62" s="6">
        <f>B62*$B$8</f>
        <v>424.40297615725672</v>
      </c>
      <c r="E62" s="6">
        <f>D62-C62</f>
        <v>172.3481816367088</v>
      </c>
      <c r="F62" s="6">
        <f>B62+E62</f>
        <v>1948401.0685421422</v>
      </c>
      <c r="G62" s="13">
        <f t="shared" si="1"/>
        <v>1948401.0685421419</v>
      </c>
      <c r="I62" s="37">
        <f t="shared" si="7"/>
        <v>8401.068542142626</v>
      </c>
      <c r="J62" s="37">
        <f t="shared" si="8"/>
        <v>34279.452054794485</v>
      </c>
      <c r="K62" s="36">
        <f t="shared" si="2"/>
        <v>97.420053427107106</v>
      </c>
      <c r="L62" s="36">
        <f t="shared" si="3"/>
        <v>99.134026029846837</v>
      </c>
      <c r="M62" s="35">
        <f t="shared" si="4"/>
        <v>1948401.0685421422</v>
      </c>
      <c r="N62" s="35">
        <f t="shared" si="5"/>
        <v>1982680.5205969366</v>
      </c>
    </row>
    <row r="63" spans="1:14" x14ac:dyDescent="0.15">
      <c r="A63" s="3">
        <f t="shared" si="6"/>
        <v>42794</v>
      </c>
      <c r="B63" s="6">
        <f>F62</f>
        <v>1948401.0685421422</v>
      </c>
      <c r="C63">
        <f t="shared" si="0"/>
        <v>252.05479452054792</v>
      </c>
      <c r="D63" s="6">
        <f>B63*$B$8</f>
        <v>424.44052055872123</v>
      </c>
      <c r="E63" s="6">
        <f>D63-C63</f>
        <v>172.38572603817332</v>
      </c>
      <c r="F63" s="6">
        <f>B63+E63</f>
        <v>1948573.4542681803</v>
      </c>
      <c r="G63" s="13">
        <f t="shared" si="1"/>
        <v>1948573.4542681803</v>
      </c>
      <c r="I63" s="37">
        <f t="shared" si="7"/>
        <v>8573.4542681807998</v>
      </c>
      <c r="J63" s="37">
        <f t="shared" si="8"/>
        <v>34531.506849315032</v>
      </c>
      <c r="K63" s="36">
        <f t="shared" si="2"/>
        <v>97.428672713409014</v>
      </c>
      <c r="L63" s="36">
        <f t="shared" si="3"/>
        <v>99.155248055874765</v>
      </c>
      <c r="M63" s="35">
        <f t="shared" si="4"/>
        <v>1948573.4542681805</v>
      </c>
      <c r="N63" s="35">
        <f t="shared" si="5"/>
        <v>1983104.9611174953</v>
      </c>
    </row>
    <row r="64" spans="1:14" x14ac:dyDescent="0.15">
      <c r="A64" s="3">
        <f t="shared" si="6"/>
        <v>42795</v>
      </c>
      <c r="B64" s="6">
        <f>F63</f>
        <v>1948573.4542681803</v>
      </c>
      <c r="C64">
        <f t="shared" si="0"/>
        <v>252.05479452054792</v>
      </c>
      <c r="D64" s="6">
        <f>B64*$B$8</f>
        <v>424.47807313887421</v>
      </c>
      <c r="E64" s="6">
        <f>D64-C64</f>
        <v>172.42327861832629</v>
      </c>
      <c r="F64" s="6">
        <f>B64+E64</f>
        <v>1948745.8775467987</v>
      </c>
      <c r="G64" s="13">
        <f t="shared" si="1"/>
        <v>1948745.8775467987</v>
      </c>
      <c r="I64" s="37">
        <f t="shared" si="7"/>
        <v>8745.8775467991254</v>
      </c>
      <c r="J64" s="37">
        <f t="shared" si="8"/>
        <v>34783.561643835579</v>
      </c>
      <c r="K64" s="36">
        <f t="shared" si="2"/>
        <v>97.43729387733994</v>
      </c>
      <c r="L64" s="36">
        <f t="shared" si="3"/>
        <v>99.176471959531725</v>
      </c>
      <c r="M64" s="35">
        <f t="shared" si="4"/>
        <v>1948745.8775467989</v>
      </c>
      <c r="N64" s="35">
        <f t="shared" si="5"/>
        <v>1983529.4391906345</v>
      </c>
    </row>
    <row r="65" spans="1:14" x14ac:dyDescent="0.15">
      <c r="A65" s="3">
        <f t="shared" si="6"/>
        <v>42796</v>
      </c>
      <c r="B65" s="6">
        <f>F64</f>
        <v>1948745.8775467987</v>
      </c>
      <c r="C65">
        <f t="shared" si="0"/>
        <v>252.05479452054792</v>
      </c>
      <c r="D65" s="6">
        <f>B65*$B$8</f>
        <v>424.51563389949723</v>
      </c>
      <c r="E65" s="6">
        <f>D65-C65</f>
        <v>172.46083937894932</v>
      </c>
      <c r="F65" s="6">
        <f>B65+E65</f>
        <v>1948918.3383861776</v>
      </c>
      <c r="G65" s="13">
        <f t="shared" si="1"/>
        <v>1948918.3383861776</v>
      </c>
      <c r="I65" s="37">
        <f t="shared" si="7"/>
        <v>8918.3383861780749</v>
      </c>
      <c r="J65" s="37">
        <f t="shared" si="8"/>
        <v>35035.616438356126</v>
      </c>
      <c r="K65" s="36">
        <f t="shared" si="2"/>
        <v>97.445916919308871</v>
      </c>
      <c r="L65" s="36">
        <f t="shared" si="3"/>
        <v>99.197697741226676</v>
      </c>
      <c r="M65" s="35">
        <f t="shared" si="4"/>
        <v>1948918.3383861773</v>
      </c>
      <c r="N65" s="35">
        <f t="shared" si="5"/>
        <v>1983953.9548245335</v>
      </c>
    </row>
    <row r="66" spans="1:14" x14ac:dyDescent="0.15">
      <c r="A66" s="3">
        <f t="shared" si="6"/>
        <v>42797</v>
      </c>
      <c r="B66" s="6">
        <f>F65</f>
        <v>1948918.3383861776</v>
      </c>
      <c r="C66">
        <f t="shared" si="0"/>
        <v>252.05479452054792</v>
      </c>
      <c r="D66" s="6">
        <f>B66*$B$8</f>
        <v>424.5532028423724</v>
      </c>
      <c r="E66" s="6">
        <f>D66-C66</f>
        <v>172.49840832182448</v>
      </c>
      <c r="F66" s="6">
        <f>B66+E66</f>
        <v>1949090.8367944993</v>
      </c>
      <c r="G66" s="13">
        <f t="shared" si="1"/>
        <v>1949090.8367944993</v>
      </c>
      <c r="I66" s="37">
        <f t="shared" si="7"/>
        <v>9090.836794499899</v>
      </c>
      <c r="J66" s="37">
        <f t="shared" si="8"/>
        <v>35287.671232876673</v>
      </c>
      <c r="K66" s="36">
        <f t="shared" si="2"/>
        <v>97.454541839724968</v>
      </c>
      <c r="L66" s="36">
        <f t="shared" si="3"/>
        <v>99.218925401368807</v>
      </c>
      <c r="M66" s="35">
        <f t="shared" si="4"/>
        <v>1949090.8367944995</v>
      </c>
      <c r="N66" s="35">
        <f t="shared" si="5"/>
        <v>1984378.5080273761</v>
      </c>
    </row>
    <row r="67" spans="1:14" x14ac:dyDescent="0.15">
      <c r="A67" s="3">
        <f t="shared" si="6"/>
        <v>42798</v>
      </c>
      <c r="B67" s="6">
        <f>F66</f>
        <v>1949090.8367944993</v>
      </c>
      <c r="C67">
        <f t="shared" si="0"/>
        <v>252.05479452054792</v>
      </c>
      <c r="D67" s="6">
        <f>B67*$B$8</f>
        <v>424.59077996928215</v>
      </c>
      <c r="E67" s="6">
        <f>D67-C67</f>
        <v>172.53598544873424</v>
      </c>
      <c r="F67" s="6">
        <f>B67+E67</f>
        <v>1949263.3727799479</v>
      </c>
      <c r="G67" s="13">
        <f t="shared" si="1"/>
        <v>1949263.3727799479</v>
      </c>
      <c r="I67" s="37">
        <f t="shared" si="7"/>
        <v>9263.3727799486333</v>
      </c>
      <c r="J67" s="37">
        <f t="shared" si="8"/>
        <v>35539.726027397221</v>
      </c>
      <c r="K67" s="36">
        <f t="shared" si="2"/>
        <v>97.463168638997402</v>
      </c>
      <c r="L67" s="36">
        <f t="shared" si="3"/>
        <v>99.240154940367262</v>
      </c>
      <c r="M67" s="35">
        <f t="shared" si="4"/>
        <v>1949263.3727799482</v>
      </c>
      <c r="N67" s="35">
        <f t="shared" si="5"/>
        <v>1984803.0988073454</v>
      </c>
    </row>
    <row r="68" spans="1:14" x14ac:dyDescent="0.15">
      <c r="A68" s="3">
        <f t="shared" si="6"/>
        <v>42799</v>
      </c>
      <c r="B68" s="6">
        <f>F67</f>
        <v>1949263.3727799479</v>
      </c>
      <c r="C68">
        <f t="shared" si="0"/>
        <v>252.05479452054792</v>
      </c>
      <c r="D68" s="6">
        <f>B68*$B$8</f>
        <v>424.62836528200921</v>
      </c>
      <c r="E68" s="6">
        <f>D68-C68</f>
        <v>172.5735707614613</v>
      </c>
      <c r="F68" s="6">
        <f>B68+E68</f>
        <v>1949435.9463507093</v>
      </c>
      <c r="G68" s="13">
        <f t="shared" si="1"/>
        <v>1949435.9463507093</v>
      </c>
      <c r="I68" s="37">
        <f t="shared" si="7"/>
        <v>9435.9463507100954</v>
      </c>
      <c r="J68" s="37">
        <f t="shared" si="8"/>
        <v>35791.780821917768</v>
      </c>
      <c r="K68" s="36">
        <f t="shared" si="2"/>
        <v>97.471797317535476</v>
      </c>
      <c r="L68" s="36">
        <f t="shared" si="3"/>
        <v>99.26138635863137</v>
      </c>
      <c r="M68" s="35">
        <f t="shared" si="4"/>
        <v>1949435.9463507095</v>
      </c>
      <c r="N68" s="35">
        <f t="shared" si="5"/>
        <v>1985227.7271726273</v>
      </c>
    </row>
    <row r="69" spans="1:14" x14ac:dyDescent="0.15">
      <c r="A69" s="3">
        <f t="shared" si="6"/>
        <v>42800</v>
      </c>
      <c r="B69" s="6">
        <f>F68</f>
        <v>1949435.9463507093</v>
      </c>
      <c r="C69">
        <f t="shared" si="0"/>
        <v>252.05479452054792</v>
      </c>
      <c r="D69" s="6">
        <f>B69*$B$8</f>
        <v>424.66595878233687</v>
      </c>
      <c r="E69" s="6">
        <f>D69-C69</f>
        <v>172.61116426178896</v>
      </c>
      <c r="F69" s="6">
        <f>B69+E69</f>
        <v>1949608.5575149711</v>
      </c>
      <c r="G69" s="13">
        <f t="shared" si="1"/>
        <v>1949608.5575149711</v>
      </c>
      <c r="I69" s="37">
        <f t="shared" si="7"/>
        <v>9608.5575149718843</v>
      </c>
      <c r="J69" s="37">
        <f t="shared" si="8"/>
        <v>36043.835616438315</v>
      </c>
      <c r="K69" s="36">
        <f t="shared" si="2"/>
        <v>97.48042787574856</v>
      </c>
      <c r="L69" s="36">
        <f t="shared" si="3"/>
        <v>99.282619656570475</v>
      </c>
      <c r="M69" s="35">
        <f t="shared" si="4"/>
        <v>1949608.5575149711</v>
      </c>
      <c r="N69" s="35">
        <f t="shared" si="5"/>
        <v>1985652.3931314095</v>
      </c>
    </row>
    <row r="70" spans="1:14" x14ac:dyDescent="0.15">
      <c r="A70" s="3">
        <f t="shared" si="6"/>
        <v>42801</v>
      </c>
      <c r="B70" s="6">
        <f>F69</f>
        <v>1949608.5575149711</v>
      </c>
      <c r="C70">
        <f t="shared" si="0"/>
        <v>252.05479452054792</v>
      </c>
      <c r="D70" s="6">
        <f>B70*$B$8</f>
        <v>424.70356047204871</v>
      </c>
      <c r="E70" s="6">
        <f>D70-C70</f>
        <v>172.64876595150079</v>
      </c>
      <c r="F70" s="6">
        <f>B70+E70</f>
        <v>1949781.2062809225</v>
      </c>
      <c r="G70" s="13">
        <f t="shared" si="1"/>
        <v>1949781.2062809225</v>
      </c>
      <c r="I70" s="37">
        <f t="shared" si="7"/>
        <v>9781.2062809233848</v>
      </c>
      <c r="J70" s="37">
        <f t="shared" si="8"/>
        <v>36295.890410958862</v>
      </c>
      <c r="K70" s="36">
        <f t="shared" si="2"/>
        <v>97.489060314046128</v>
      </c>
      <c r="L70" s="36">
        <f t="shared" si="3"/>
        <v>99.303854834594077</v>
      </c>
      <c r="M70" s="35">
        <f t="shared" si="4"/>
        <v>1949781.2062809225</v>
      </c>
      <c r="N70" s="35">
        <f t="shared" si="5"/>
        <v>1986077.0966918813</v>
      </c>
    </row>
    <row r="71" spans="1:14" x14ac:dyDescent="0.15">
      <c r="A71" s="3">
        <f t="shared" si="6"/>
        <v>42802</v>
      </c>
      <c r="B71" s="6">
        <f>F70</f>
        <v>1949781.2062809225</v>
      </c>
      <c r="C71">
        <f t="shared" si="0"/>
        <v>252.05479452054792</v>
      </c>
      <c r="D71" s="6">
        <f>B71*$B$8</f>
        <v>424.74117035292863</v>
      </c>
      <c r="E71" s="6">
        <f>D71-C71</f>
        <v>172.68637583238072</v>
      </c>
      <c r="F71" s="6">
        <f>B71+E71</f>
        <v>1949953.8926567549</v>
      </c>
      <c r="G71" s="13">
        <f t="shared" si="1"/>
        <v>1949953.8926567549</v>
      </c>
      <c r="I71" s="37">
        <f t="shared" si="7"/>
        <v>9953.8926567557664</v>
      </c>
      <c r="J71" s="37">
        <f t="shared" si="8"/>
        <v>36547.945205479409</v>
      </c>
      <c r="K71" s="36">
        <f t="shared" si="2"/>
        <v>97.497694632837749</v>
      </c>
      <c r="L71" s="36">
        <f t="shared" si="3"/>
        <v>99.325091893111718</v>
      </c>
      <c r="M71" s="35">
        <f t="shared" si="4"/>
        <v>1949953.8926567549</v>
      </c>
      <c r="N71" s="35">
        <f t="shared" si="5"/>
        <v>1986501.8378622343</v>
      </c>
    </row>
    <row r="72" spans="1:14" x14ac:dyDescent="0.15">
      <c r="A72" s="3">
        <f t="shared" si="6"/>
        <v>42803</v>
      </c>
      <c r="B72" s="6">
        <f>F71</f>
        <v>1949953.8926567549</v>
      </c>
      <c r="C72">
        <f t="shared" si="0"/>
        <v>252.05479452054792</v>
      </c>
      <c r="D72" s="6">
        <f>B72*$B$8</f>
        <v>424.77878842676114</v>
      </c>
      <c r="E72" s="6">
        <f>D72-C72</f>
        <v>172.72399390621322</v>
      </c>
      <c r="F72" s="6">
        <f>B72+E72</f>
        <v>1950126.6166506612</v>
      </c>
      <c r="G72" s="13">
        <f t="shared" si="1"/>
        <v>1950126.616650661</v>
      </c>
      <c r="I72" s="37">
        <f t="shared" si="7"/>
        <v>10126.616650661979</v>
      </c>
      <c r="J72" s="37">
        <f t="shared" si="8"/>
        <v>36799.999999999956</v>
      </c>
      <c r="K72" s="36">
        <f t="shared" si="2"/>
        <v>97.506330832533052</v>
      </c>
      <c r="L72" s="36">
        <f t="shared" si="3"/>
        <v>99.346330832533056</v>
      </c>
      <c r="M72" s="35">
        <f t="shared" si="4"/>
        <v>1950126.616650661</v>
      </c>
      <c r="N72" s="35">
        <f t="shared" si="5"/>
        <v>1986926.6166506612</v>
      </c>
    </row>
    <row r="73" spans="1:14" x14ac:dyDescent="0.15">
      <c r="A73" s="3">
        <f t="shared" si="6"/>
        <v>42804</v>
      </c>
      <c r="B73" s="6">
        <f>F72</f>
        <v>1950126.6166506612</v>
      </c>
      <c r="C73">
        <f t="shared" si="0"/>
        <v>252.05479452054792</v>
      </c>
      <c r="D73" s="6">
        <f>B73*$B$8</f>
        <v>424.81641469533088</v>
      </c>
      <c r="E73" s="6">
        <f>D73-C73</f>
        <v>172.76162017478296</v>
      </c>
      <c r="F73" s="6">
        <f>B73+E73</f>
        <v>1950299.3782708361</v>
      </c>
      <c r="G73" s="13">
        <f t="shared" si="1"/>
        <v>1950299.3782708358</v>
      </c>
      <c r="I73" s="37">
        <f t="shared" si="7"/>
        <v>10299.378270836762</v>
      </c>
      <c r="J73" s="37">
        <f t="shared" si="8"/>
        <v>37052.054794520503</v>
      </c>
      <c r="K73" s="36">
        <f t="shared" si="2"/>
        <v>97.514968913541793</v>
      </c>
      <c r="L73" s="36">
        <f t="shared" si="3"/>
        <v>99.367571653267817</v>
      </c>
      <c r="M73" s="35">
        <f t="shared" si="4"/>
        <v>1950299.3782708358</v>
      </c>
      <c r="N73" s="35">
        <f t="shared" si="5"/>
        <v>1987351.4330653562</v>
      </c>
    </row>
    <row r="74" spans="1:14" x14ac:dyDescent="0.15">
      <c r="A74" s="3">
        <f t="shared" si="6"/>
        <v>42805</v>
      </c>
      <c r="B74" s="6">
        <f>F73</f>
        <v>1950299.3782708361</v>
      </c>
      <c r="C74">
        <f t="shared" si="0"/>
        <v>252.05479452054792</v>
      </c>
      <c r="D74" s="6">
        <f>B74*$B$8</f>
        <v>424.85404916042307</v>
      </c>
      <c r="E74" s="6">
        <f>D74-C74</f>
        <v>172.79925463987516</v>
      </c>
      <c r="F74" s="6">
        <f>B74+E74</f>
        <v>1950472.1775254759</v>
      </c>
      <c r="G74" s="13">
        <f t="shared" si="1"/>
        <v>1950472.1775254759</v>
      </c>
      <c r="I74" s="37">
        <f t="shared" si="7"/>
        <v>10472.177525476636</v>
      </c>
      <c r="J74" s="37">
        <f t="shared" si="8"/>
        <v>37304.109589041051</v>
      </c>
      <c r="K74" s="36">
        <f t="shared" si="2"/>
        <v>97.523608876273798</v>
      </c>
      <c r="L74" s="36">
        <f t="shared" si="3"/>
        <v>99.388814355725856</v>
      </c>
      <c r="M74" s="35">
        <f t="shared" si="4"/>
        <v>1950472.1775254759</v>
      </c>
      <c r="N74" s="35">
        <f t="shared" si="5"/>
        <v>1987776.2871145171</v>
      </c>
    </row>
    <row r="75" spans="1:14" x14ac:dyDescent="0.15">
      <c r="A75" s="3">
        <f t="shared" si="6"/>
        <v>42806</v>
      </c>
      <c r="B75" s="6">
        <f>F74</f>
        <v>1950472.1775254759</v>
      </c>
      <c r="C75">
        <f t="shared" si="0"/>
        <v>252.05479452054792</v>
      </c>
      <c r="D75" s="6">
        <f>B75*$B$8</f>
        <v>424.89169182382312</v>
      </c>
      <c r="E75" s="6">
        <f>D75-C75</f>
        <v>172.83689730327521</v>
      </c>
      <c r="F75" s="6">
        <f>B75+E75</f>
        <v>1950645.0144227792</v>
      </c>
      <c r="G75" s="13">
        <f t="shared" si="1"/>
        <v>1950645.014422779</v>
      </c>
      <c r="I75" s="37">
        <f t="shared" si="7"/>
        <v>10645.014422779912</v>
      </c>
      <c r="J75" s="37">
        <f t="shared" si="8"/>
        <v>37556.164383561598</v>
      </c>
      <c r="K75" s="36">
        <f t="shared" si="2"/>
        <v>97.532250721138951</v>
      </c>
      <c r="L75" s="36">
        <f t="shared" si="3"/>
        <v>99.410058940317029</v>
      </c>
      <c r="M75" s="35">
        <f t="shared" si="4"/>
        <v>1950645.014422779</v>
      </c>
      <c r="N75" s="35">
        <f t="shared" si="5"/>
        <v>1988201.1788063408</v>
      </c>
    </row>
    <row r="76" spans="1:14" x14ac:dyDescent="0.15">
      <c r="A76" s="3">
        <f t="shared" si="6"/>
        <v>42807</v>
      </c>
      <c r="B76" s="6">
        <f>F75</f>
        <v>1950645.0144227792</v>
      </c>
      <c r="C76">
        <f t="shared" si="0"/>
        <v>252.05479452054792</v>
      </c>
      <c r="D76" s="6">
        <f>B76*$B$8</f>
        <v>424.9293426873171</v>
      </c>
      <c r="E76" s="6">
        <f>D76-C76</f>
        <v>172.87454816676919</v>
      </c>
      <c r="F76" s="6">
        <f>B76+E76</f>
        <v>1950817.888970946</v>
      </c>
      <c r="G76" s="13">
        <f t="shared" si="1"/>
        <v>1950817.888970946</v>
      </c>
      <c r="I76" s="37">
        <f t="shared" si="7"/>
        <v>10817.88897094668</v>
      </c>
      <c r="J76" s="37">
        <f t="shared" si="8"/>
        <v>37808.219178082145</v>
      </c>
      <c r="K76" s="36">
        <f t="shared" si="2"/>
        <v>97.540894448547306</v>
      </c>
      <c r="L76" s="36">
        <f t="shared" si="3"/>
        <v>99.431305407451418</v>
      </c>
      <c r="M76" s="35">
        <f t="shared" si="4"/>
        <v>1950817.888970946</v>
      </c>
      <c r="N76" s="35">
        <f t="shared" si="5"/>
        <v>1988626.1081490284</v>
      </c>
    </row>
    <row r="77" spans="1:14" x14ac:dyDescent="0.15">
      <c r="A77" s="3">
        <f t="shared" si="6"/>
        <v>42808</v>
      </c>
      <c r="B77" s="6">
        <f>F76</f>
        <v>1950817.888970946</v>
      </c>
      <c r="C77">
        <f t="shared" si="0"/>
        <v>252.05479452054792</v>
      </c>
      <c r="D77" s="6">
        <f>B77*$B$8</f>
        <v>424.9670017526912</v>
      </c>
      <c r="E77" s="6">
        <f>D77-C77</f>
        <v>172.91220723214329</v>
      </c>
      <c r="F77" s="6">
        <f>B77+E77</f>
        <v>1950990.8011781781</v>
      </c>
      <c r="G77" s="13">
        <f t="shared" si="1"/>
        <v>1950990.8011781781</v>
      </c>
      <c r="I77" s="37">
        <f t="shared" si="7"/>
        <v>10990.801178178823</v>
      </c>
      <c r="J77" s="37">
        <f t="shared" si="8"/>
        <v>38060.273972602692</v>
      </c>
      <c r="K77" s="36">
        <f t="shared" si="2"/>
        <v>97.549540058908903</v>
      </c>
      <c r="L77" s="36">
        <f t="shared" si="3"/>
        <v>99.452553757539036</v>
      </c>
      <c r="M77" s="35">
        <f t="shared" si="4"/>
        <v>1950990.8011781783</v>
      </c>
      <c r="N77" s="35">
        <f t="shared" si="5"/>
        <v>1989051.0751507806</v>
      </c>
    </row>
    <row r="78" spans="1:14" x14ac:dyDescent="0.15">
      <c r="A78" s="3">
        <f t="shared" si="6"/>
        <v>42809</v>
      </c>
      <c r="B78" s="6">
        <f>F77</f>
        <v>1950990.8011781781</v>
      </c>
      <c r="C78">
        <f t="shared" ref="C78:C141" si="9">$E$8*$E$6/100</f>
        <v>252.05479452054792</v>
      </c>
      <c r="D78" s="6">
        <f>B78*$B$8</f>
        <v>425.00466902173224</v>
      </c>
      <c r="E78" s="6">
        <f>D78-C78</f>
        <v>172.94987450118433</v>
      </c>
      <c r="F78" s="6">
        <f>B78+E78</f>
        <v>1951163.7510526793</v>
      </c>
      <c r="G78" s="13">
        <f t="shared" si="1"/>
        <v>1951163.7510526793</v>
      </c>
      <c r="I78" s="37">
        <f t="shared" si="7"/>
        <v>11163.751052680007</v>
      </c>
      <c r="J78" s="37">
        <f t="shared" si="8"/>
        <v>38312.328767123239</v>
      </c>
      <c r="K78" s="36">
        <f t="shared" si="2"/>
        <v>97.558187552633967</v>
      </c>
      <c r="L78" s="36">
        <f t="shared" si="3"/>
        <v>99.473803990990135</v>
      </c>
      <c r="M78" s="35">
        <f t="shared" si="4"/>
        <v>1951163.7510526795</v>
      </c>
      <c r="N78" s="35">
        <f t="shared" si="5"/>
        <v>1989476.0798198027</v>
      </c>
    </row>
    <row r="79" spans="1:14" x14ac:dyDescent="0.15">
      <c r="A79" s="3">
        <f t="shared" si="6"/>
        <v>42810</v>
      </c>
      <c r="B79" s="6">
        <f>F78</f>
        <v>1951163.7510526793</v>
      </c>
      <c r="C79">
        <f t="shared" si="9"/>
        <v>252.05479452054792</v>
      </c>
      <c r="D79" s="6">
        <f>B79*$B$8</f>
        <v>425.0423444962272</v>
      </c>
      <c r="E79" s="6">
        <f>D79-C79</f>
        <v>172.98754997567929</v>
      </c>
      <c r="F79" s="6">
        <f>B79+E79</f>
        <v>1951336.738602655</v>
      </c>
      <c r="G79" s="13">
        <f t="shared" ref="G79:G142" si="10">B79+B79*$B$8-C79</f>
        <v>1951336.7386026548</v>
      </c>
      <c r="I79" s="37">
        <f t="shared" si="7"/>
        <v>11336.738602655687</v>
      </c>
      <c r="J79" s="37">
        <f t="shared" si="8"/>
        <v>38564.383561643786</v>
      </c>
      <c r="K79" s="36">
        <f t="shared" ref="K79:K142" si="11">G79/$E$6*100</f>
        <v>97.566836930132737</v>
      </c>
      <c r="L79" s="36">
        <f t="shared" ref="L79:L142" si="12">K79+J79/$E$6*100</f>
        <v>99.495056108214925</v>
      </c>
      <c r="M79" s="35">
        <f t="shared" ref="M79:M142" si="13">K79*$E$6/100</f>
        <v>1951336.7386026545</v>
      </c>
      <c r="N79" s="35">
        <f t="shared" ref="N79:N142" si="14">L79*$E$6/100</f>
        <v>1989901.1221642985</v>
      </c>
    </row>
    <row r="80" spans="1:14" x14ac:dyDescent="0.15">
      <c r="A80" s="3">
        <f t="shared" ref="A80:A143" si="15">A79+1</f>
        <v>42811</v>
      </c>
      <c r="B80" s="6">
        <f>F79</f>
        <v>1951336.738602655</v>
      </c>
      <c r="C80">
        <f t="shared" si="9"/>
        <v>252.05479452054792</v>
      </c>
      <c r="D80" s="6">
        <f>B80*$B$8</f>
        <v>425.08002817796364</v>
      </c>
      <c r="E80" s="6">
        <f>D80-C80</f>
        <v>173.02523365741573</v>
      </c>
      <c r="F80" s="6">
        <f>B80+E80</f>
        <v>1951509.7638363123</v>
      </c>
      <c r="G80" s="13">
        <f t="shared" si="10"/>
        <v>1951509.7638363123</v>
      </c>
      <c r="I80" s="37">
        <f t="shared" ref="I80:I143" si="16">I79+E80</f>
        <v>11509.763836313103</v>
      </c>
      <c r="J80" s="37">
        <f t="shared" ref="J80:J143" si="17">J79+C80</f>
        <v>38816.438356164334</v>
      </c>
      <c r="K80" s="36">
        <f t="shared" si="11"/>
        <v>97.575488191815623</v>
      </c>
      <c r="L80" s="36">
        <f t="shared" si="12"/>
        <v>99.516310109623845</v>
      </c>
      <c r="M80" s="35">
        <f t="shared" si="13"/>
        <v>1951509.7638363126</v>
      </c>
      <c r="N80" s="35">
        <f t="shared" si="14"/>
        <v>1990326.202192477</v>
      </c>
    </row>
    <row r="81" spans="1:14" x14ac:dyDescent="0.15">
      <c r="A81" s="3">
        <f t="shared" si="15"/>
        <v>42812</v>
      </c>
      <c r="B81" s="6">
        <f>F80</f>
        <v>1951509.7638363123</v>
      </c>
      <c r="C81">
        <f t="shared" si="9"/>
        <v>252.05479452054792</v>
      </c>
      <c r="D81" s="6">
        <f>B81*$B$8</f>
        <v>425.1177200687294</v>
      </c>
      <c r="E81" s="6">
        <f>D81-C81</f>
        <v>173.06292554818148</v>
      </c>
      <c r="F81" s="6">
        <f>B81+E81</f>
        <v>1951682.8267618606</v>
      </c>
      <c r="G81" s="13">
        <f t="shared" si="10"/>
        <v>1951682.8267618604</v>
      </c>
      <c r="I81" s="37">
        <f t="shared" si="16"/>
        <v>11682.826761861284</v>
      </c>
      <c r="J81" s="37">
        <f t="shared" si="17"/>
        <v>39068.493150684881</v>
      </c>
      <c r="K81" s="36">
        <f t="shared" si="11"/>
        <v>97.584141338093019</v>
      </c>
      <c r="L81" s="36">
        <f t="shared" si="12"/>
        <v>99.537565995627261</v>
      </c>
      <c r="M81" s="35">
        <f t="shared" si="13"/>
        <v>1951682.8267618602</v>
      </c>
      <c r="N81" s="35">
        <f t="shared" si="14"/>
        <v>1990751.3199125452</v>
      </c>
    </row>
    <row r="82" spans="1:14" x14ac:dyDescent="0.15">
      <c r="A82" s="3">
        <f t="shared" si="15"/>
        <v>42813</v>
      </c>
      <c r="B82" s="6">
        <f>F81</f>
        <v>1951682.8267618606</v>
      </c>
      <c r="C82">
        <f t="shared" si="9"/>
        <v>252.05479452054792</v>
      </c>
      <c r="D82" s="6">
        <f>B82*$B$8</f>
        <v>425.15542017031271</v>
      </c>
      <c r="E82" s="6">
        <f>D82-C82</f>
        <v>173.10062564976479</v>
      </c>
      <c r="F82" s="6">
        <f>B82+E82</f>
        <v>1951855.9273875104</v>
      </c>
      <c r="G82" s="13">
        <f t="shared" si="10"/>
        <v>1951855.9273875104</v>
      </c>
      <c r="I82" s="37">
        <f t="shared" si="16"/>
        <v>11855.927387511048</v>
      </c>
      <c r="J82" s="37">
        <f t="shared" si="17"/>
        <v>39320.547945205428</v>
      </c>
      <c r="K82" s="36">
        <f t="shared" si="11"/>
        <v>97.59279636937552</v>
      </c>
      <c r="L82" s="36">
        <f t="shared" si="12"/>
        <v>99.558823766635797</v>
      </c>
      <c r="M82" s="35">
        <f t="shared" si="13"/>
        <v>1951855.9273875104</v>
      </c>
      <c r="N82" s="35">
        <f t="shared" si="14"/>
        <v>1991176.4753327158</v>
      </c>
    </row>
    <row r="83" spans="1:14" x14ac:dyDescent="0.15">
      <c r="A83" s="3">
        <f t="shared" si="15"/>
        <v>42814</v>
      </c>
      <c r="B83" s="6">
        <f>F82</f>
        <v>1951855.9273875104</v>
      </c>
      <c r="C83">
        <f t="shared" si="9"/>
        <v>252.05479452054792</v>
      </c>
      <c r="D83" s="6">
        <f>B83*$B$8</f>
        <v>425.19312848450227</v>
      </c>
      <c r="E83" s="6">
        <f>D83-C83</f>
        <v>173.13833396395435</v>
      </c>
      <c r="F83" s="6">
        <f>B83+E83</f>
        <v>1952029.0657214744</v>
      </c>
      <c r="G83" s="13">
        <f t="shared" si="10"/>
        <v>1952029.0657214744</v>
      </c>
      <c r="I83" s="37">
        <f t="shared" si="16"/>
        <v>12029.065721475003</v>
      </c>
      <c r="J83" s="37">
        <f t="shared" si="17"/>
        <v>39572.602739725975</v>
      </c>
      <c r="K83" s="36">
        <f t="shared" si="11"/>
        <v>97.601453286073721</v>
      </c>
      <c r="L83" s="36">
        <f t="shared" si="12"/>
        <v>99.580083423060017</v>
      </c>
      <c r="M83" s="35">
        <f t="shared" si="13"/>
        <v>1952029.0657214744</v>
      </c>
      <c r="N83" s="35">
        <f t="shared" si="14"/>
        <v>1991601.6684612003</v>
      </c>
    </row>
    <row r="84" spans="1:14" x14ac:dyDescent="0.15">
      <c r="A84" s="3">
        <f t="shared" si="15"/>
        <v>42815</v>
      </c>
      <c r="B84" s="6">
        <f>F83</f>
        <v>1952029.0657214744</v>
      </c>
      <c r="C84">
        <f t="shared" si="9"/>
        <v>252.05479452054792</v>
      </c>
      <c r="D84" s="6">
        <f>B84*$B$8</f>
        <v>425.23084501308705</v>
      </c>
      <c r="E84" s="6">
        <f>D84-C84</f>
        <v>173.17605049253913</v>
      </c>
      <c r="F84" s="6">
        <f>B84+E84</f>
        <v>1952202.2417719669</v>
      </c>
      <c r="G84" s="13">
        <f t="shared" si="10"/>
        <v>1952202.2417719669</v>
      </c>
      <c r="I84" s="37">
        <f t="shared" si="16"/>
        <v>12202.241771967541</v>
      </c>
      <c r="J84" s="37">
        <f t="shared" si="17"/>
        <v>39824.657534246522</v>
      </c>
      <c r="K84" s="36">
        <f t="shared" si="11"/>
        <v>97.610112088598342</v>
      </c>
      <c r="L84" s="36">
        <f t="shared" si="12"/>
        <v>99.601344965310673</v>
      </c>
      <c r="M84" s="35">
        <f t="shared" si="13"/>
        <v>1952202.2417719669</v>
      </c>
      <c r="N84" s="35">
        <f t="shared" si="14"/>
        <v>1992026.8993062135</v>
      </c>
    </row>
    <row r="85" spans="1:14" x14ac:dyDescent="0.15">
      <c r="A85" s="3">
        <f t="shared" si="15"/>
        <v>42816</v>
      </c>
      <c r="B85" s="6">
        <f>F84</f>
        <v>1952202.2417719669</v>
      </c>
      <c r="C85">
        <f t="shared" si="9"/>
        <v>252.05479452054792</v>
      </c>
      <c r="D85" s="6">
        <f>B85*$B$8</f>
        <v>425.26856975785654</v>
      </c>
      <c r="E85" s="6">
        <f>D85-C85</f>
        <v>173.21377523730862</v>
      </c>
      <c r="F85" s="6">
        <f>B85+E85</f>
        <v>1952375.4555472042</v>
      </c>
      <c r="G85" s="13">
        <f t="shared" si="10"/>
        <v>1952375.4555472042</v>
      </c>
      <c r="I85" s="37">
        <f t="shared" si="16"/>
        <v>12375.455547204851</v>
      </c>
      <c r="J85" s="37">
        <f t="shared" si="17"/>
        <v>40076.712328767069</v>
      </c>
      <c r="K85" s="36">
        <f t="shared" si="11"/>
        <v>97.618772777360206</v>
      </c>
      <c r="L85" s="36">
        <f t="shared" si="12"/>
        <v>99.622608393798558</v>
      </c>
      <c r="M85" s="35">
        <f t="shared" si="13"/>
        <v>1952375.455547204</v>
      </c>
      <c r="N85" s="35">
        <f t="shared" si="14"/>
        <v>1992452.1678759712</v>
      </c>
    </row>
    <row r="86" spans="1:14" x14ac:dyDescent="0.15">
      <c r="A86" s="3">
        <f t="shared" si="15"/>
        <v>42817</v>
      </c>
      <c r="B86" s="6">
        <f>F85</f>
        <v>1952375.4555472042</v>
      </c>
      <c r="C86">
        <f t="shared" si="9"/>
        <v>252.05479452054792</v>
      </c>
      <c r="D86" s="6">
        <f>B86*$B$8</f>
        <v>425.30630272060057</v>
      </c>
      <c r="E86" s="6">
        <f>D86-C86</f>
        <v>173.25150820005265</v>
      </c>
      <c r="F86" s="6">
        <f>B86+E86</f>
        <v>1952548.7070554043</v>
      </c>
      <c r="G86" s="13">
        <f t="shared" si="10"/>
        <v>1952548.7070554043</v>
      </c>
      <c r="I86" s="37">
        <f t="shared" si="16"/>
        <v>12548.707055404902</v>
      </c>
      <c r="J86" s="37">
        <f t="shared" si="17"/>
        <v>40328.767123287616</v>
      </c>
      <c r="K86" s="36">
        <f t="shared" si="11"/>
        <v>97.62743535277022</v>
      </c>
      <c r="L86" s="36">
        <f t="shared" si="12"/>
        <v>99.643873708934606</v>
      </c>
      <c r="M86" s="35">
        <f t="shared" si="13"/>
        <v>1952548.7070554045</v>
      </c>
      <c r="N86" s="35">
        <f t="shared" si="14"/>
        <v>1992877.4741786921</v>
      </c>
    </row>
    <row r="87" spans="1:14" x14ac:dyDescent="0.15">
      <c r="A87" s="3">
        <f t="shared" si="15"/>
        <v>42818</v>
      </c>
      <c r="B87" s="6">
        <f>F86</f>
        <v>1952548.7070554043</v>
      </c>
      <c r="C87">
        <f t="shared" si="9"/>
        <v>252.05479452054792</v>
      </c>
      <c r="D87" s="6">
        <f>B87*$B$8</f>
        <v>425.34404390310925</v>
      </c>
      <c r="E87" s="6">
        <f>D87-C87</f>
        <v>173.28924938256134</v>
      </c>
      <c r="F87" s="6">
        <f>B87+E87</f>
        <v>1952721.9963047868</v>
      </c>
      <c r="G87" s="13">
        <f t="shared" si="10"/>
        <v>1952721.9963047868</v>
      </c>
      <c r="I87" s="37">
        <f t="shared" si="16"/>
        <v>12721.996304787464</v>
      </c>
      <c r="J87" s="37">
        <f t="shared" si="17"/>
        <v>40580.821917808164</v>
      </c>
      <c r="K87" s="36">
        <f t="shared" si="11"/>
        <v>97.636099815239348</v>
      </c>
      <c r="L87" s="36">
        <f t="shared" si="12"/>
        <v>99.665140911129754</v>
      </c>
      <c r="M87" s="35">
        <f t="shared" si="13"/>
        <v>1952721.996304787</v>
      </c>
      <c r="N87" s="35">
        <f t="shared" si="14"/>
        <v>1993302.8182225951</v>
      </c>
    </row>
    <row r="88" spans="1:14" x14ac:dyDescent="0.15">
      <c r="A88" s="3">
        <f t="shared" si="15"/>
        <v>42819</v>
      </c>
      <c r="B88" s="6">
        <f>F87</f>
        <v>1952721.9963047868</v>
      </c>
      <c r="C88">
        <f t="shared" si="9"/>
        <v>252.05479452054792</v>
      </c>
      <c r="D88" s="6">
        <f>B88*$B$8</f>
        <v>425.38179330717327</v>
      </c>
      <c r="E88" s="6">
        <f>D88-C88</f>
        <v>173.32699878662535</v>
      </c>
      <c r="F88" s="6">
        <f>B88+E88</f>
        <v>1952895.3233035733</v>
      </c>
      <c r="G88" s="13">
        <f t="shared" si="10"/>
        <v>1952895.3233035733</v>
      </c>
      <c r="I88" s="37">
        <f t="shared" si="16"/>
        <v>12895.32330357409</v>
      </c>
      <c r="J88" s="37">
        <f t="shared" si="17"/>
        <v>40832.876712328711</v>
      </c>
      <c r="K88" s="36">
        <f t="shared" si="11"/>
        <v>97.644766165178666</v>
      </c>
      <c r="L88" s="36">
        <f t="shared" si="12"/>
        <v>99.686410000795107</v>
      </c>
      <c r="M88" s="35">
        <f t="shared" si="13"/>
        <v>1952895.3233035735</v>
      </c>
      <c r="N88" s="35">
        <f t="shared" si="14"/>
        <v>1993728.2000159023</v>
      </c>
    </row>
    <row r="89" spans="1:14" x14ac:dyDescent="0.15">
      <c r="A89" s="3">
        <f t="shared" si="15"/>
        <v>42820</v>
      </c>
      <c r="B89" s="6">
        <f>F88</f>
        <v>1952895.3233035733</v>
      </c>
      <c r="C89">
        <f t="shared" si="9"/>
        <v>252.05479452054792</v>
      </c>
      <c r="D89" s="6">
        <f>B89*$B$8</f>
        <v>425.41955093458358</v>
      </c>
      <c r="E89" s="6">
        <f>D89-C89</f>
        <v>173.36475641403567</v>
      </c>
      <c r="F89" s="6">
        <f>B89+E89</f>
        <v>1953068.6880599873</v>
      </c>
      <c r="G89" s="13">
        <f t="shared" si="10"/>
        <v>1953068.6880599873</v>
      </c>
      <c r="I89" s="37">
        <f t="shared" si="16"/>
        <v>13068.688059988126</v>
      </c>
      <c r="J89" s="37">
        <f t="shared" si="17"/>
        <v>41084.931506849258</v>
      </c>
      <c r="K89" s="36">
        <f t="shared" si="11"/>
        <v>97.653434402999366</v>
      </c>
      <c r="L89" s="36">
        <f t="shared" si="12"/>
        <v>99.707680978341827</v>
      </c>
      <c r="M89" s="35">
        <f t="shared" si="13"/>
        <v>1953068.6880599875</v>
      </c>
      <c r="N89" s="35">
        <f t="shared" si="14"/>
        <v>1994153.6195668366</v>
      </c>
    </row>
    <row r="90" spans="1:14" x14ac:dyDescent="0.15">
      <c r="A90" s="3">
        <f t="shared" si="15"/>
        <v>42821</v>
      </c>
      <c r="B90" s="6">
        <f>F89</f>
        <v>1953068.6880599873</v>
      </c>
      <c r="C90">
        <f t="shared" si="9"/>
        <v>252.05479452054792</v>
      </c>
      <c r="D90" s="6">
        <f>B90*$B$8</f>
        <v>425.45731678713156</v>
      </c>
      <c r="E90" s="6">
        <f>D90-C90</f>
        <v>173.40252226658365</v>
      </c>
      <c r="F90" s="6">
        <f>B90+E90</f>
        <v>1953242.0905822539</v>
      </c>
      <c r="G90" s="13">
        <f t="shared" si="10"/>
        <v>1953242.0905822539</v>
      </c>
      <c r="I90" s="37">
        <f t="shared" si="16"/>
        <v>13242.09058225471</v>
      </c>
      <c r="J90" s="37">
        <f t="shared" si="17"/>
        <v>41336.986301369805</v>
      </c>
      <c r="K90" s="36">
        <f t="shared" si="11"/>
        <v>97.662104529112696</v>
      </c>
      <c r="L90" s="36">
        <f t="shared" si="12"/>
        <v>99.728953844181191</v>
      </c>
      <c r="M90" s="35">
        <f t="shared" si="13"/>
        <v>1953242.0905822539</v>
      </c>
      <c r="N90" s="35">
        <f t="shared" si="14"/>
        <v>1994579.0768836238</v>
      </c>
    </row>
    <row r="91" spans="1:14" x14ac:dyDescent="0.15">
      <c r="A91" s="3">
        <f t="shared" si="15"/>
        <v>42822</v>
      </c>
      <c r="B91" s="6">
        <f>F90</f>
        <v>1953242.0905822539</v>
      </c>
      <c r="C91">
        <f t="shared" si="9"/>
        <v>252.05479452054792</v>
      </c>
      <c r="D91" s="6">
        <f>B91*$B$8</f>
        <v>425.49509086660896</v>
      </c>
      <c r="E91" s="6">
        <f>D91-C91</f>
        <v>173.44029634606105</v>
      </c>
      <c r="F91" s="6">
        <f>B91+E91</f>
        <v>1953415.5308786</v>
      </c>
      <c r="G91" s="13">
        <f t="shared" si="10"/>
        <v>1953415.5308786</v>
      </c>
      <c r="I91" s="37">
        <f t="shared" si="16"/>
        <v>13415.530878600772</v>
      </c>
      <c r="J91" s="37">
        <f t="shared" si="17"/>
        <v>41589.041095890352</v>
      </c>
      <c r="K91" s="36">
        <f t="shared" si="11"/>
        <v>97.670776543929989</v>
      </c>
      <c r="L91" s="36">
        <f t="shared" si="12"/>
        <v>99.750228598724505</v>
      </c>
      <c r="M91" s="35">
        <f t="shared" si="13"/>
        <v>1953415.5308786</v>
      </c>
      <c r="N91" s="35">
        <f t="shared" si="14"/>
        <v>1995004.5719744901</v>
      </c>
    </row>
    <row r="92" spans="1:14" x14ac:dyDescent="0.15">
      <c r="A92" s="3">
        <f t="shared" si="15"/>
        <v>42823</v>
      </c>
      <c r="B92" s="6">
        <f>F91</f>
        <v>1953415.5308786</v>
      </c>
      <c r="C92">
        <f t="shared" si="9"/>
        <v>252.05479452054792</v>
      </c>
      <c r="D92" s="6">
        <f>B92*$B$8</f>
        <v>425.532873174808</v>
      </c>
      <c r="E92" s="6">
        <f>D92-C92</f>
        <v>173.47807865426009</v>
      </c>
      <c r="F92" s="6">
        <f>B92+E92</f>
        <v>1953589.0089572542</v>
      </c>
      <c r="G92" s="13">
        <f t="shared" si="10"/>
        <v>1953589.0089572542</v>
      </c>
      <c r="I92" s="37">
        <f t="shared" si="16"/>
        <v>13589.008957255031</v>
      </c>
      <c r="J92" s="37">
        <f t="shared" si="17"/>
        <v>41841.095890410899</v>
      </c>
      <c r="K92" s="36">
        <f t="shared" si="11"/>
        <v>97.67945044786272</v>
      </c>
      <c r="L92" s="36">
        <f t="shared" si="12"/>
        <v>99.77150524238327</v>
      </c>
      <c r="M92" s="35">
        <f t="shared" si="13"/>
        <v>1953589.0089572542</v>
      </c>
      <c r="N92" s="35">
        <f t="shared" si="14"/>
        <v>1995430.1048476654</v>
      </c>
    </row>
    <row r="93" spans="1:14" x14ac:dyDescent="0.15">
      <c r="A93" s="3">
        <f t="shared" si="15"/>
        <v>42824</v>
      </c>
      <c r="B93" s="6">
        <f>F92</f>
        <v>1953589.0089572542</v>
      </c>
      <c r="C93">
        <f t="shared" si="9"/>
        <v>252.05479452054792</v>
      </c>
      <c r="D93" s="6">
        <f>B93*$B$8</f>
        <v>425.57066371352118</v>
      </c>
      <c r="E93" s="6">
        <f>D93-C93</f>
        <v>173.51586919297327</v>
      </c>
      <c r="F93" s="6">
        <f>B93+E93</f>
        <v>1953762.5248264472</v>
      </c>
      <c r="G93" s="13">
        <f t="shared" si="10"/>
        <v>1953762.5248264472</v>
      </c>
      <c r="I93" s="37">
        <f t="shared" si="16"/>
        <v>13762.524826448005</v>
      </c>
      <c r="J93" s="37">
        <f t="shared" si="17"/>
        <v>42093.150684931446</v>
      </c>
      <c r="K93" s="36">
        <f t="shared" si="11"/>
        <v>97.688126241322365</v>
      </c>
      <c r="L93" s="36">
        <f t="shared" si="12"/>
        <v>99.792783775568935</v>
      </c>
      <c r="M93" s="35">
        <f t="shared" si="13"/>
        <v>1953762.5248264475</v>
      </c>
      <c r="N93" s="35">
        <f t="shared" si="14"/>
        <v>1995855.6755113786</v>
      </c>
    </row>
    <row r="94" spans="1:14" x14ac:dyDescent="0.15">
      <c r="A94" s="3">
        <f t="shared" si="15"/>
        <v>42825</v>
      </c>
      <c r="B94" s="6">
        <f>F93</f>
        <v>1953762.5248264472</v>
      </c>
      <c r="C94">
        <f t="shared" si="9"/>
        <v>252.05479452054792</v>
      </c>
      <c r="D94" s="6">
        <f>B94*$B$8</f>
        <v>425.60846248454146</v>
      </c>
      <c r="E94" s="6">
        <f>D94-C94</f>
        <v>173.55366796399355</v>
      </c>
      <c r="F94" s="6">
        <f>B94+E94</f>
        <v>1953936.0784944112</v>
      </c>
      <c r="G94" s="13">
        <f t="shared" si="10"/>
        <v>1953936.0784944112</v>
      </c>
      <c r="I94" s="37">
        <f t="shared" si="16"/>
        <v>13936.078494411999</v>
      </c>
      <c r="J94" s="37">
        <f t="shared" si="17"/>
        <v>42345.205479451994</v>
      </c>
      <c r="K94" s="36">
        <f t="shared" si="11"/>
        <v>97.696803924720555</v>
      </c>
      <c r="L94" s="36">
        <f t="shared" si="12"/>
        <v>99.81406419869316</v>
      </c>
      <c r="M94" s="35">
        <f t="shared" si="13"/>
        <v>1953936.0784944112</v>
      </c>
      <c r="N94" s="35">
        <f t="shared" si="14"/>
        <v>1996281.2839738631</v>
      </c>
    </row>
    <row r="95" spans="1:14" x14ac:dyDescent="0.15">
      <c r="A95" s="3">
        <f t="shared" si="15"/>
        <v>42826</v>
      </c>
      <c r="B95" s="6">
        <f>F94</f>
        <v>1953936.0784944112</v>
      </c>
      <c r="C95">
        <f t="shared" si="9"/>
        <v>252.05479452054792</v>
      </c>
      <c r="D95" s="6">
        <f>B95*$B$8</f>
        <v>425.64626948966213</v>
      </c>
      <c r="E95" s="6">
        <f>D95-C95</f>
        <v>173.59147496911422</v>
      </c>
      <c r="F95" s="6">
        <f>B95+E95</f>
        <v>1954109.6699693804</v>
      </c>
      <c r="G95" s="13">
        <f t="shared" si="10"/>
        <v>1954109.6699693804</v>
      </c>
      <c r="I95" s="37">
        <f t="shared" si="16"/>
        <v>14109.669969381113</v>
      </c>
      <c r="J95" s="37">
        <f t="shared" si="17"/>
        <v>42597.260273972541</v>
      </c>
      <c r="K95" s="36">
        <f t="shared" si="11"/>
        <v>97.705483498469022</v>
      </c>
      <c r="L95" s="36">
        <f t="shared" si="12"/>
        <v>99.835346512167646</v>
      </c>
      <c r="M95" s="35">
        <f t="shared" si="13"/>
        <v>1954109.6699693806</v>
      </c>
      <c r="N95" s="35">
        <f t="shared" si="14"/>
        <v>1996706.9302433529</v>
      </c>
    </row>
    <row r="96" spans="1:14" x14ac:dyDescent="0.15">
      <c r="A96" s="3">
        <f t="shared" si="15"/>
        <v>42827</v>
      </c>
      <c r="B96" s="6">
        <f>F95</f>
        <v>1954109.6699693804</v>
      </c>
      <c r="C96">
        <f t="shared" si="9"/>
        <v>252.05479452054792</v>
      </c>
      <c r="D96" s="6">
        <f>B96*$B$8</f>
        <v>425.68408473067694</v>
      </c>
      <c r="E96" s="6">
        <f>D96-C96</f>
        <v>173.62929021012903</v>
      </c>
      <c r="F96" s="6">
        <f>B96+E96</f>
        <v>1954283.2992595905</v>
      </c>
      <c r="G96" s="13">
        <f t="shared" si="10"/>
        <v>1954283.2992595905</v>
      </c>
      <c r="I96" s="37">
        <f t="shared" si="16"/>
        <v>14283.299259591242</v>
      </c>
      <c r="J96" s="37">
        <f t="shared" si="17"/>
        <v>42849.315068493088</v>
      </c>
      <c r="K96" s="36">
        <f t="shared" si="11"/>
        <v>97.714164962979524</v>
      </c>
      <c r="L96" s="36">
        <f t="shared" si="12"/>
        <v>99.856630716404183</v>
      </c>
      <c r="M96" s="35">
        <f t="shared" si="13"/>
        <v>1954283.2992595905</v>
      </c>
      <c r="N96" s="35">
        <f t="shared" si="14"/>
        <v>1997132.6143280836</v>
      </c>
    </row>
    <row r="97" spans="1:14" x14ac:dyDescent="0.15">
      <c r="A97" s="3">
        <f t="shared" si="15"/>
        <v>42828</v>
      </c>
      <c r="B97" s="6">
        <f>F96</f>
        <v>1954283.2992595905</v>
      </c>
      <c r="C97">
        <f t="shared" si="9"/>
        <v>252.05479452054792</v>
      </c>
      <c r="D97" s="6">
        <f>B97*$B$8</f>
        <v>425.72190820938005</v>
      </c>
      <c r="E97" s="6">
        <f>D97-C97</f>
        <v>173.66711368883213</v>
      </c>
      <c r="F97" s="6">
        <f>B97+E97</f>
        <v>1954456.9663732792</v>
      </c>
      <c r="G97" s="13">
        <f t="shared" si="10"/>
        <v>1954456.9663732792</v>
      </c>
      <c r="I97" s="37">
        <f t="shared" si="16"/>
        <v>14456.966373280075</v>
      </c>
      <c r="J97" s="37">
        <f t="shared" si="17"/>
        <v>43101.369863013635</v>
      </c>
      <c r="K97" s="36">
        <f t="shared" si="11"/>
        <v>97.722848318663964</v>
      </c>
      <c r="L97" s="36">
        <f t="shared" si="12"/>
        <v>99.877916811814643</v>
      </c>
      <c r="M97" s="35">
        <f t="shared" si="13"/>
        <v>1954456.9663732795</v>
      </c>
      <c r="N97" s="35">
        <f t="shared" si="14"/>
        <v>1997558.3362362927</v>
      </c>
    </row>
    <row r="98" spans="1:14" x14ac:dyDescent="0.15">
      <c r="A98" s="3">
        <f t="shared" si="15"/>
        <v>42829</v>
      </c>
      <c r="B98" s="6">
        <f>F97</f>
        <v>1954456.9663732792</v>
      </c>
      <c r="C98">
        <f t="shared" si="9"/>
        <v>252.05479452054792</v>
      </c>
      <c r="D98" s="6">
        <f>B98*$B$8</f>
        <v>425.75973992756582</v>
      </c>
      <c r="E98" s="6">
        <f>D98-C98</f>
        <v>173.7049454070179</v>
      </c>
      <c r="F98" s="6">
        <f>B98+E98</f>
        <v>1954630.6713186863</v>
      </c>
      <c r="G98" s="13">
        <f t="shared" si="10"/>
        <v>1954630.6713186861</v>
      </c>
      <c r="I98" s="37">
        <f t="shared" si="16"/>
        <v>14630.671318687093</v>
      </c>
      <c r="J98" s="37">
        <f t="shared" si="17"/>
        <v>43353.424657534182</v>
      </c>
      <c r="K98" s="36">
        <f t="shared" si="11"/>
        <v>97.731533565934299</v>
      </c>
      <c r="L98" s="36">
        <f t="shared" si="12"/>
        <v>99.899204798811013</v>
      </c>
      <c r="M98" s="35">
        <f t="shared" si="13"/>
        <v>1954630.6713186861</v>
      </c>
      <c r="N98" s="35">
        <f t="shared" si="14"/>
        <v>1997984.0959762204</v>
      </c>
    </row>
    <row r="99" spans="1:14" x14ac:dyDescent="0.15">
      <c r="A99" s="3">
        <f t="shared" si="15"/>
        <v>42830</v>
      </c>
      <c r="B99" s="6">
        <f>F98</f>
        <v>1954630.6713186863</v>
      </c>
      <c r="C99">
        <f t="shared" si="9"/>
        <v>252.05479452054792</v>
      </c>
      <c r="D99" s="6">
        <f>B99*$B$8</f>
        <v>425.79757988702931</v>
      </c>
      <c r="E99" s="6">
        <f>D99-C99</f>
        <v>173.7427853664814</v>
      </c>
      <c r="F99" s="6">
        <f>B99+E99</f>
        <v>1954804.4141040528</v>
      </c>
      <c r="G99" s="13">
        <f t="shared" si="10"/>
        <v>1954804.4141040528</v>
      </c>
      <c r="I99" s="37">
        <f t="shared" si="16"/>
        <v>14804.414104053574</v>
      </c>
      <c r="J99" s="37">
        <f t="shared" si="17"/>
        <v>43605.479452054729</v>
      </c>
      <c r="K99" s="36">
        <f t="shared" si="11"/>
        <v>97.740220705202645</v>
      </c>
      <c r="L99" s="36">
        <f t="shared" si="12"/>
        <v>99.92049467780538</v>
      </c>
      <c r="M99" s="35">
        <f t="shared" si="13"/>
        <v>1954804.4141040528</v>
      </c>
      <c r="N99" s="35">
        <f t="shared" si="14"/>
        <v>1998409.8935561075</v>
      </c>
    </row>
    <row r="100" spans="1:14" x14ac:dyDescent="0.15">
      <c r="A100" s="3">
        <f t="shared" si="15"/>
        <v>42831</v>
      </c>
      <c r="B100" s="6">
        <f>F99</f>
        <v>1954804.4141040528</v>
      </c>
      <c r="C100">
        <f t="shared" si="9"/>
        <v>252.05479452054792</v>
      </c>
      <c r="D100" s="6">
        <f>B100*$B$8</f>
        <v>425.83542808956565</v>
      </c>
      <c r="E100" s="6">
        <f>D100-C100</f>
        <v>173.78063356901774</v>
      </c>
      <c r="F100" s="6">
        <f>B100+E100</f>
        <v>1954978.1947376218</v>
      </c>
      <c r="G100" s="13">
        <f t="shared" si="10"/>
        <v>1954978.1947376218</v>
      </c>
      <c r="I100" s="37">
        <f t="shared" si="16"/>
        <v>14978.194737622593</v>
      </c>
      <c r="J100" s="37">
        <f t="shared" si="17"/>
        <v>43857.534246575276</v>
      </c>
      <c r="K100" s="36">
        <f t="shared" si="11"/>
        <v>97.748909736881089</v>
      </c>
      <c r="L100" s="36">
        <f t="shared" si="12"/>
        <v>99.941786449209857</v>
      </c>
      <c r="M100" s="35">
        <f t="shared" si="13"/>
        <v>1954978.1947376218</v>
      </c>
      <c r="N100" s="35">
        <f t="shared" si="14"/>
        <v>1998835.7289841971</v>
      </c>
    </row>
    <row r="101" spans="1:14" x14ac:dyDescent="0.15">
      <c r="A101" s="3">
        <f t="shared" si="15"/>
        <v>42832</v>
      </c>
      <c r="B101" s="6">
        <f>F100</f>
        <v>1954978.1947376218</v>
      </c>
      <c r="C101">
        <f t="shared" si="9"/>
        <v>252.05479452054792</v>
      </c>
      <c r="D101" s="6">
        <f>B101*$B$8</f>
        <v>425.87328453697063</v>
      </c>
      <c r="E101" s="6">
        <f>D101-C101</f>
        <v>173.81849001642271</v>
      </c>
      <c r="F101" s="6">
        <f>B101+E101</f>
        <v>1955152.0132276383</v>
      </c>
      <c r="G101" s="13">
        <f t="shared" si="10"/>
        <v>1955152.0132276381</v>
      </c>
      <c r="I101" s="37">
        <f t="shared" si="16"/>
        <v>15152.013227639016</v>
      </c>
      <c r="J101" s="37">
        <f t="shared" si="17"/>
        <v>44109.589041095824</v>
      </c>
      <c r="K101" s="36">
        <f t="shared" si="11"/>
        <v>97.7576006613819</v>
      </c>
      <c r="L101" s="36">
        <f t="shared" si="12"/>
        <v>99.963080113436689</v>
      </c>
      <c r="M101" s="35">
        <f t="shared" si="13"/>
        <v>1955152.0132276381</v>
      </c>
      <c r="N101" s="35">
        <f t="shared" si="14"/>
        <v>1999261.6022687338</v>
      </c>
    </row>
    <row r="102" spans="1:14" x14ac:dyDescent="0.15">
      <c r="A102" s="3">
        <f t="shared" si="15"/>
        <v>42833</v>
      </c>
      <c r="B102" s="6">
        <f>F101</f>
        <v>1955152.0132276383</v>
      </c>
      <c r="C102">
        <f t="shared" si="9"/>
        <v>252.05479452054792</v>
      </c>
      <c r="D102" s="6">
        <f>B102*$B$8</f>
        <v>425.91114923104027</v>
      </c>
      <c r="E102" s="6">
        <f>D102-C102</f>
        <v>173.85635471049235</v>
      </c>
      <c r="F102" s="6">
        <f>B102+E102</f>
        <v>1955325.8695823487</v>
      </c>
      <c r="G102" s="13">
        <f t="shared" si="10"/>
        <v>1955325.8695823487</v>
      </c>
      <c r="I102" s="37">
        <f t="shared" si="16"/>
        <v>15325.869582349509</v>
      </c>
      <c r="J102" s="37">
        <f t="shared" si="17"/>
        <v>44361.643835616371</v>
      </c>
      <c r="K102" s="36">
        <f t="shared" si="11"/>
        <v>97.766293479117437</v>
      </c>
      <c r="L102" s="36">
        <f t="shared" si="12"/>
        <v>99.98437567089826</v>
      </c>
      <c r="M102" s="35">
        <f t="shared" si="13"/>
        <v>1955325.8695823487</v>
      </c>
      <c r="N102" s="35">
        <f t="shared" si="14"/>
        <v>1999687.5134179653</v>
      </c>
    </row>
    <row r="103" spans="1:14" x14ac:dyDescent="0.15">
      <c r="A103" s="3">
        <f t="shared" si="15"/>
        <v>42834</v>
      </c>
      <c r="B103" s="6">
        <f>F102</f>
        <v>1955325.8695823487</v>
      </c>
      <c r="C103">
        <f t="shared" si="9"/>
        <v>252.05479452054792</v>
      </c>
      <c r="D103" s="6">
        <f>B103*$B$8</f>
        <v>425.94902217357105</v>
      </c>
      <c r="E103" s="6">
        <f>D103-C103</f>
        <v>173.89422765302314</v>
      </c>
      <c r="F103" s="6">
        <f>B103+E103</f>
        <v>1955499.7638100018</v>
      </c>
      <c r="G103" s="13">
        <f t="shared" si="10"/>
        <v>1955499.7638100018</v>
      </c>
      <c r="I103" s="37">
        <f t="shared" si="16"/>
        <v>15499.763810002532</v>
      </c>
      <c r="J103" s="37">
        <f t="shared" si="17"/>
        <v>44613.698630136918</v>
      </c>
      <c r="K103" s="36">
        <f t="shared" si="11"/>
        <v>97.774988190500096</v>
      </c>
      <c r="L103" s="36">
        <f t="shared" si="12"/>
        <v>100.00567312200694</v>
      </c>
      <c r="M103" s="35">
        <f t="shared" si="13"/>
        <v>1955499.763810002</v>
      </c>
      <c r="N103" s="35">
        <f t="shared" si="14"/>
        <v>2000113.4624401387</v>
      </c>
    </row>
    <row r="104" spans="1:14" x14ac:dyDescent="0.15">
      <c r="A104" s="3">
        <f t="shared" si="15"/>
        <v>42835</v>
      </c>
      <c r="B104" s="6">
        <f>F103</f>
        <v>1955499.7638100018</v>
      </c>
      <c r="C104">
        <f t="shared" si="9"/>
        <v>252.05479452054792</v>
      </c>
      <c r="D104" s="6">
        <f>B104*$B$8</f>
        <v>425.98690336635974</v>
      </c>
      <c r="E104" s="6">
        <f>D104-C104</f>
        <v>173.93210884581183</v>
      </c>
      <c r="F104" s="6">
        <f>B104+E104</f>
        <v>1955673.6959188476</v>
      </c>
      <c r="G104" s="13">
        <f t="shared" si="10"/>
        <v>1955673.6959188476</v>
      </c>
      <c r="I104" s="37">
        <f t="shared" si="16"/>
        <v>15673.695918848343</v>
      </c>
      <c r="J104" s="37">
        <f t="shared" si="17"/>
        <v>44865.753424657465</v>
      </c>
      <c r="K104" s="36">
        <f t="shared" si="11"/>
        <v>97.783684795942378</v>
      </c>
      <c r="L104" s="36">
        <f t="shared" si="12"/>
        <v>100.02697246717526</v>
      </c>
      <c r="M104" s="35">
        <f t="shared" si="13"/>
        <v>1955673.6959188476</v>
      </c>
      <c r="N104" s="35">
        <f t="shared" si="14"/>
        <v>2000539.4493435053</v>
      </c>
    </row>
    <row r="105" spans="1:14" x14ac:dyDescent="0.15">
      <c r="A105" s="3">
        <f t="shared" si="15"/>
        <v>42836</v>
      </c>
      <c r="B105" s="6">
        <f>F104</f>
        <v>1955673.6959188476</v>
      </c>
      <c r="C105">
        <f t="shared" si="9"/>
        <v>252.05479452054792</v>
      </c>
      <c r="D105" s="6">
        <f>B105*$B$8</f>
        <v>426.02479281120367</v>
      </c>
      <c r="E105" s="6">
        <f>D105-C105</f>
        <v>173.96999829065575</v>
      </c>
      <c r="F105" s="6">
        <f>B105+E105</f>
        <v>1955847.6659171383</v>
      </c>
      <c r="G105" s="13">
        <f t="shared" si="10"/>
        <v>1955847.6659171381</v>
      </c>
      <c r="I105" s="37">
        <f t="shared" si="16"/>
        <v>15847.665917138998</v>
      </c>
      <c r="J105" s="37">
        <f t="shared" si="17"/>
        <v>45117.808219178012</v>
      </c>
      <c r="K105" s="36">
        <f t="shared" si="11"/>
        <v>97.792383295856908</v>
      </c>
      <c r="L105" s="36">
        <f t="shared" si="12"/>
        <v>100.04827370681581</v>
      </c>
      <c r="M105" s="35">
        <f t="shared" si="13"/>
        <v>1955847.6659171381</v>
      </c>
      <c r="N105" s="35">
        <f t="shared" si="14"/>
        <v>2000965.4741363162</v>
      </c>
    </row>
    <row r="106" spans="1:14" x14ac:dyDescent="0.15">
      <c r="A106" s="3">
        <f t="shared" si="15"/>
        <v>42837</v>
      </c>
      <c r="B106" s="6">
        <f>F105</f>
        <v>1955847.6659171383</v>
      </c>
      <c r="C106">
        <f t="shared" si="9"/>
        <v>252.05479452054792</v>
      </c>
      <c r="D106" s="6">
        <f>B106*$B$8</f>
        <v>426.06269050990051</v>
      </c>
      <c r="E106" s="6">
        <f>D106-C106</f>
        <v>174.00789598935259</v>
      </c>
      <c r="F106" s="6">
        <f>B106+E106</f>
        <v>1956021.6738131277</v>
      </c>
      <c r="G106" s="13">
        <f t="shared" si="10"/>
        <v>1956021.6738131277</v>
      </c>
      <c r="I106" s="37">
        <f t="shared" si="16"/>
        <v>16021.673813128351</v>
      </c>
      <c r="J106" s="37">
        <f t="shared" si="17"/>
        <v>45369.863013698559</v>
      </c>
      <c r="K106" s="36">
        <f t="shared" si="11"/>
        <v>97.801083690656384</v>
      </c>
      <c r="L106" s="36">
        <f t="shared" si="12"/>
        <v>100.06957684134132</v>
      </c>
      <c r="M106" s="35">
        <f t="shared" si="13"/>
        <v>1956021.6738131277</v>
      </c>
      <c r="N106" s="35">
        <f t="shared" si="14"/>
        <v>2001391.5368268264</v>
      </c>
    </row>
    <row r="107" spans="1:14" x14ac:dyDescent="0.15">
      <c r="A107" s="3">
        <f t="shared" si="15"/>
        <v>42838</v>
      </c>
      <c r="B107" s="6">
        <f>F106</f>
        <v>1956021.6738131277</v>
      </c>
      <c r="C107">
        <f t="shared" si="9"/>
        <v>252.05479452054792</v>
      </c>
      <c r="D107" s="6">
        <f>B107*$B$8</f>
        <v>426.1005964642481</v>
      </c>
      <c r="E107" s="6">
        <f>D107-C107</f>
        <v>174.04580194370018</v>
      </c>
      <c r="F107" s="6">
        <f>B107+E107</f>
        <v>1956195.7196150713</v>
      </c>
      <c r="G107" s="13">
        <f t="shared" si="10"/>
        <v>1956195.7196150713</v>
      </c>
      <c r="I107" s="37">
        <f t="shared" si="16"/>
        <v>16195.719615072052</v>
      </c>
      <c r="J107" s="37">
        <f t="shared" si="17"/>
        <v>45621.917808219107</v>
      </c>
      <c r="K107" s="36">
        <f t="shared" si="11"/>
        <v>97.80978598075356</v>
      </c>
      <c r="L107" s="36">
        <f t="shared" si="12"/>
        <v>100.09088187116451</v>
      </c>
      <c r="M107" s="35">
        <f t="shared" si="13"/>
        <v>1956195.7196150711</v>
      </c>
      <c r="N107" s="35">
        <f t="shared" si="14"/>
        <v>2001817.6374232904</v>
      </c>
    </row>
    <row r="108" spans="1:14" x14ac:dyDescent="0.15">
      <c r="A108" s="3">
        <f t="shared" si="15"/>
        <v>42839</v>
      </c>
      <c r="B108" s="6">
        <f>F107</f>
        <v>1956195.7196150713</v>
      </c>
      <c r="C108">
        <f t="shared" si="9"/>
        <v>252.05479452054792</v>
      </c>
      <c r="D108" s="6">
        <f>B108*$B$8</f>
        <v>426.13851067604503</v>
      </c>
      <c r="E108" s="6">
        <f>D108-C108</f>
        <v>174.08371615549711</v>
      </c>
      <c r="F108" s="6">
        <f>B108+E108</f>
        <v>1956369.8033312268</v>
      </c>
      <c r="G108" s="13">
        <f t="shared" si="10"/>
        <v>1956369.8033312268</v>
      </c>
      <c r="I108" s="37">
        <f t="shared" si="16"/>
        <v>16369.803331227549</v>
      </c>
      <c r="J108" s="37">
        <f t="shared" si="17"/>
        <v>45873.972602739654</v>
      </c>
      <c r="K108" s="36">
        <f t="shared" si="11"/>
        <v>97.818490166561347</v>
      </c>
      <c r="L108" s="36">
        <f t="shared" si="12"/>
        <v>100.11218879669833</v>
      </c>
      <c r="M108" s="35">
        <f t="shared" si="13"/>
        <v>1956369.803331227</v>
      </c>
      <c r="N108" s="35">
        <f t="shared" si="14"/>
        <v>2002243.7759339667</v>
      </c>
    </row>
    <row r="109" spans="1:14" x14ac:dyDescent="0.15">
      <c r="A109" s="3">
        <f t="shared" si="15"/>
        <v>42840</v>
      </c>
      <c r="B109" s="6">
        <f>F108</f>
        <v>1956369.8033312268</v>
      </c>
      <c r="C109">
        <f t="shared" si="9"/>
        <v>252.05479452054792</v>
      </c>
      <c r="D109" s="6">
        <f>B109*$B$8</f>
        <v>426.17643314709005</v>
      </c>
      <c r="E109" s="6">
        <f>D109-C109</f>
        <v>174.12163862654214</v>
      </c>
      <c r="F109" s="6">
        <f>B109+E109</f>
        <v>1956543.9249698534</v>
      </c>
      <c r="G109" s="13">
        <f t="shared" si="10"/>
        <v>1956543.9249698534</v>
      </c>
      <c r="I109" s="37">
        <f t="shared" si="16"/>
        <v>16543.924969854092</v>
      </c>
      <c r="J109" s="37">
        <f t="shared" si="17"/>
        <v>46126.027397260201</v>
      </c>
      <c r="K109" s="36">
        <f t="shared" si="11"/>
        <v>97.827196248492669</v>
      </c>
      <c r="L109" s="36">
        <f t="shared" si="12"/>
        <v>100.13349761835568</v>
      </c>
      <c r="M109" s="35">
        <f t="shared" si="13"/>
        <v>1956543.9249698534</v>
      </c>
      <c r="N109" s="35">
        <f t="shared" si="14"/>
        <v>2002669.9523671134</v>
      </c>
    </row>
    <row r="110" spans="1:14" x14ac:dyDescent="0.15">
      <c r="A110" s="3">
        <f t="shared" si="15"/>
        <v>42841</v>
      </c>
      <c r="B110" s="6">
        <f>F109</f>
        <v>1956543.9249698534</v>
      </c>
      <c r="C110">
        <f t="shared" si="9"/>
        <v>252.05479452054792</v>
      </c>
      <c r="D110" s="6">
        <f>B110*$B$8</f>
        <v>426.21436387918232</v>
      </c>
      <c r="E110" s="6">
        <f>D110-C110</f>
        <v>174.1595693586344</v>
      </c>
      <c r="F110" s="6">
        <f>B110+E110</f>
        <v>1956718.0845392121</v>
      </c>
      <c r="G110" s="13">
        <f t="shared" si="10"/>
        <v>1956718.0845392121</v>
      </c>
      <c r="I110" s="37">
        <f t="shared" si="16"/>
        <v>16718.084539212727</v>
      </c>
      <c r="J110" s="37">
        <f t="shared" si="17"/>
        <v>46378.082191780748</v>
      </c>
      <c r="K110" s="36">
        <f t="shared" si="11"/>
        <v>97.835904226960608</v>
      </c>
      <c r="L110" s="36">
        <f t="shared" si="12"/>
        <v>100.15480833654965</v>
      </c>
      <c r="M110" s="35">
        <f t="shared" si="13"/>
        <v>1956718.0845392123</v>
      </c>
      <c r="N110" s="35">
        <f t="shared" si="14"/>
        <v>2003096.1667309932</v>
      </c>
    </row>
    <row r="111" spans="1:14" x14ac:dyDescent="0.15">
      <c r="A111" s="3">
        <f t="shared" si="15"/>
        <v>42842</v>
      </c>
      <c r="B111" s="6">
        <f>F110</f>
        <v>1956718.0845392121</v>
      </c>
      <c r="C111">
        <f t="shared" si="9"/>
        <v>252.05479452054792</v>
      </c>
      <c r="D111" s="6">
        <f>B111*$B$8</f>
        <v>426.25230287412148</v>
      </c>
      <c r="E111" s="6">
        <f>D111-C111</f>
        <v>174.19750835357357</v>
      </c>
      <c r="F111" s="6">
        <f>B111+E111</f>
        <v>1956892.2820475656</v>
      </c>
      <c r="G111" s="13">
        <f t="shared" si="10"/>
        <v>1956892.2820475656</v>
      </c>
      <c r="I111" s="37">
        <f t="shared" si="16"/>
        <v>16892.282047566299</v>
      </c>
      <c r="J111" s="37">
        <f t="shared" si="17"/>
        <v>46630.136986301295</v>
      </c>
      <c r="K111" s="36">
        <f t="shared" si="11"/>
        <v>97.844614102378273</v>
      </c>
      <c r="L111" s="36">
        <f t="shared" si="12"/>
        <v>100.17612095169333</v>
      </c>
      <c r="M111" s="35">
        <f t="shared" si="13"/>
        <v>1956892.2820475656</v>
      </c>
      <c r="N111" s="35">
        <f t="shared" si="14"/>
        <v>2003522.4190338668</v>
      </c>
    </row>
    <row r="112" spans="1:14" x14ac:dyDescent="0.15">
      <c r="A112" s="3">
        <f t="shared" si="15"/>
        <v>42843</v>
      </c>
      <c r="B112" s="6">
        <f>F111</f>
        <v>1956892.2820475656</v>
      </c>
      <c r="C112">
        <f t="shared" si="9"/>
        <v>252.05479452054792</v>
      </c>
      <c r="D112" s="6">
        <f>B112*$B$8</f>
        <v>426.29025013370745</v>
      </c>
      <c r="E112" s="6">
        <f>D112-C112</f>
        <v>174.23545561315953</v>
      </c>
      <c r="F112" s="6">
        <f>B112+E112</f>
        <v>1957066.5175031787</v>
      </c>
      <c r="G112" s="13">
        <f t="shared" si="10"/>
        <v>1957066.5175031787</v>
      </c>
      <c r="I112" s="37">
        <f t="shared" si="16"/>
        <v>17066.517503179461</v>
      </c>
      <c r="J112" s="37">
        <f t="shared" si="17"/>
        <v>46882.191780821842</v>
      </c>
      <c r="K112" s="36">
        <f t="shared" si="11"/>
        <v>97.85332587515893</v>
      </c>
      <c r="L112" s="36">
        <f t="shared" si="12"/>
        <v>100.19743546420003</v>
      </c>
      <c r="M112" s="35">
        <f t="shared" si="13"/>
        <v>1957066.5175031787</v>
      </c>
      <c r="N112" s="35">
        <f t="shared" si="14"/>
        <v>2003948.7092840003</v>
      </c>
    </row>
    <row r="113" spans="1:14" x14ac:dyDescent="0.15">
      <c r="A113" s="3">
        <f t="shared" si="15"/>
        <v>42844</v>
      </c>
      <c r="B113" s="6">
        <f>F112</f>
        <v>1957066.5175031787</v>
      </c>
      <c r="C113">
        <f t="shared" si="9"/>
        <v>252.05479452054792</v>
      </c>
      <c r="D113" s="6">
        <f>B113*$B$8</f>
        <v>426.32820565974072</v>
      </c>
      <c r="E113" s="6">
        <f>D113-C113</f>
        <v>174.2734111391928</v>
      </c>
      <c r="F113" s="6">
        <f>B113+E113</f>
        <v>1957240.7909143178</v>
      </c>
      <c r="G113" s="13">
        <f t="shared" si="10"/>
        <v>1957240.7909143178</v>
      </c>
      <c r="I113" s="37">
        <f t="shared" si="16"/>
        <v>17240.790914318652</v>
      </c>
      <c r="J113" s="37">
        <f t="shared" si="17"/>
        <v>47134.246575342389</v>
      </c>
      <c r="K113" s="36">
        <f t="shared" si="11"/>
        <v>97.862039545715902</v>
      </c>
      <c r="L113" s="36">
        <f t="shared" si="12"/>
        <v>100.21875187448302</v>
      </c>
      <c r="M113" s="35">
        <f t="shared" si="13"/>
        <v>1957240.7909143181</v>
      </c>
      <c r="N113" s="35">
        <f t="shared" si="14"/>
        <v>2004375.0374896603</v>
      </c>
    </row>
    <row r="114" spans="1:14" x14ac:dyDescent="0.15">
      <c r="A114" s="3">
        <f t="shared" si="15"/>
        <v>42845</v>
      </c>
      <c r="B114" s="6">
        <f>F113</f>
        <v>1957240.7909143178</v>
      </c>
      <c r="C114">
        <f t="shared" si="9"/>
        <v>252.05479452054792</v>
      </c>
      <c r="D114" s="6">
        <f>B114*$B$8</f>
        <v>426.36616945402193</v>
      </c>
      <c r="E114" s="6">
        <f>D114-C114</f>
        <v>174.31137493347401</v>
      </c>
      <c r="F114" s="6">
        <f>B114+E114</f>
        <v>1957415.1022892513</v>
      </c>
      <c r="G114" s="13">
        <f t="shared" si="10"/>
        <v>1957415.1022892513</v>
      </c>
      <c r="I114" s="37">
        <f t="shared" si="16"/>
        <v>17415.102289252125</v>
      </c>
      <c r="J114" s="37">
        <f t="shared" si="17"/>
        <v>47386.301369862937</v>
      </c>
      <c r="K114" s="36">
        <f t="shared" si="11"/>
        <v>97.870755114462554</v>
      </c>
      <c r="L114" s="36">
        <f t="shared" si="12"/>
        <v>100.24007018295571</v>
      </c>
      <c r="M114" s="35">
        <f t="shared" si="13"/>
        <v>1957415.1022892511</v>
      </c>
      <c r="N114" s="35">
        <f t="shared" si="14"/>
        <v>2004801.4036591141</v>
      </c>
    </row>
    <row r="115" spans="1:14" x14ac:dyDescent="0.15">
      <c r="A115" s="3">
        <f t="shared" si="15"/>
        <v>42846</v>
      </c>
      <c r="B115" s="6">
        <f>F114</f>
        <v>1957415.1022892513</v>
      </c>
      <c r="C115">
        <f t="shared" si="9"/>
        <v>252.05479452054792</v>
      </c>
      <c r="D115" s="6">
        <f>B115*$B$8</f>
        <v>426.40414151835228</v>
      </c>
      <c r="E115" s="6">
        <f>D115-C115</f>
        <v>174.34934699780436</v>
      </c>
      <c r="F115" s="6">
        <f>B115+E115</f>
        <v>1957589.4516362492</v>
      </c>
      <c r="G115" s="13">
        <f t="shared" si="10"/>
        <v>1957589.451636249</v>
      </c>
      <c r="I115" s="37">
        <f t="shared" si="16"/>
        <v>17589.451636249931</v>
      </c>
      <c r="J115" s="37">
        <f t="shared" si="17"/>
        <v>47638.356164383484</v>
      </c>
      <c r="K115" s="36">
        <f t="shared" si="11"/>
        <v>97.87947258181245</v>
      </c>
      <c r="L115" s="36">
        <f t="shared" si="12"/>
        <v>100.26139039003162</v>
      </c>
      <c r="M115" s="35">
        <f t="shared" si="13"/>
        <v>1957589.4516362492</v>
      </c>
      <c r="N115" s="35">
        <f t="shared" si="14"/>
        <v>2005227.8078006324</v>
      </c>
    </row>
    <row r="116" spans="1:14" x14ac:dyDescent="0.15">
      <c r="A116" s="3">
        <f t="shared" si="15"/>
        <v>42847</v>
      </c>
      <c r="B116" s="6">
        <f>F115</f>
        <v>1957589.4516362492</v>
      </c>
      <c r="C116">
        <f t="shared" si="9"/>
        <v>252.05479452054792</v>
      </c>
      <c r="D116" s="6">
        <f>B116*$B$8</f>
        <v>426.44212185453341</v>
      </c>
      <c r="E116" s="6">
        <f>D116-C116</f>
        <v>174.3873273339855</v>
      </c>
      <c r="F116" s="6">
        <f>B116+E116</f>
        <v>1957763.8389635831</v>
      </c>
      <c r="G116" s="13">
        <f t="shared" si="10"/>
        <v>1957763.8389635831</v>
      </c>
      <c r="I116" s="37">
        <f t="shared" si="16"/>
        <v>17763.838963583916</v>
      </c>
      <c r="J116" s="37">
        <f t="shared" si="17"/>
        <v>47890.410958904031</v>
      </c>
      <c r="K116" s="36">
        <f t="shared" si="11"/>
        <v>97.888191948179156</v>
      </c>
      <c r="L116" s="36">
        <f t="shared" si="12"/>
        <v>100.28271249612436</v>
      </c>
      <c r="M116" s="35">
        <f t="shared" si="13"/>
        <v>1957763.8389635831</v>
      </c>
      <c r="N116" s="35">
        <f t="shared" si="14"/>
        <v>2005654.2499224872</v>
      </c>
    </row>
    <row r="117" spans="1:14" x14ac:dyDescent="0.15">
      <c r="A117" s="3">
        <f t="shared" si="15"/>
        <v>42848</v>
      </c>
      <c r="B117" s="6">
        <f>F116</f>
        <v>1957763.8389635831</v>
      </c>
      <c r="C117">
        <f t="shared" si="9"/>
        <v>252.05479452054792</v>
      </c>
      <c r="D117" s="6">
        <f>B117*$B$8</f>
        <v>426.4801104643671</v>
      </c>
      <c r="E117" s="6">
        <f>D117-C117</f>
        <v>174.42531594381919</v>
      </c>
      <c r="F117" s="6">
        <f>B117+E117</f>
        <v>1957938.2642795269</v>
      </c>
      <c r="G117" s="13">
        <f t="shared" si="10"/>
        <v>1957938.2642795269</v>
      </c>
      <c r="I117" s="37">
        <f t="shared" si="16"/>
        <v>17938.264279527735</v>
      </c>
      <c r="J117" s="37">
        <f t="shared" si="17"/>
        <v>48142.465753424578</v>
      </c>
      <c r="K117" s="36">
        <f t="shared" si="11"/>
        <v>97.896913213976347</v>
      </c>
      <c r="L117" s="36">
        <f t="shared" si="12"/>
        <v>100.30403650164757</v>
      </c>
      <c r="M117" s="35">
        <f t="shared" si="13"/>
        <v>1957938.2642795271</v>
      </c>
      <c r="N117" s="35">
        <f t="shared" si="14"/>
        <v>2006080.7300329516</v>
      </c>
    </row>
    <row r="118" spans="1:14" x14ac:dyDescent="0.15">
      <c r="A118" s="3">
        <f t="shared" si="15"/>
        <v>42849</v>
      </c>
      <c r="B118" s="6">
        <f>F117</f>
        <v>1957938.2642795269</v>
      </c>
      <c r="C118">
        <f t="shared" si="9"/>
        <v>252.05479452054792</v>
      </c>
      <c r="D118" s="6">
        <f>B118*$B$8</f>
        <v>426.51810734965585</v>
      </c>
      <c r="E118" s="6">
        <f>D118-C118</f>
        <v>174.46331282910793</v>
      </c>
      <c r="F118" s="6">
        <f>B118+E118</f>
        <v>1958112.727592356</v>
      </c>
      <c r="G118" s="13">
        <f t="shared" si="10"/>
        <v>1958112.727592356</v>
      </c>
      <c r="I118" s="37">
        <f t="shared" si="16"/>
        <v>18112.727592356841</v>
      </c>
      <c r="J118" s="37">
        <f t="shared" si="17"/>
        <v>48394.520547945125</v>
      </c>
      <c r="K118" s="36">
        <f t="shared" si="11"/>
        <v>97.905636379617803</v>
      </c>
      <c r="L118" s="36">
        <f t="shared" si="12"/>
        <v>100.32536240701506</v>
      </c>
      <c r="M118" s="35">
        <f t="shared" si="13"/>
        <v>1958112.7275923563</v>
      </c>
      <c r="N118" s="35">
        <f t="shared" si="14"/>
        <v>2006507.2481403013</v>
      </c>
    </row>
    <row r="119" spans="1:14" x14ac:dyDescent="0.15">
      <c r="A119" s="3">
        <f t="shared" si="15"/>
        <v>42850</v>
      </c>
      <c r="B119" s="6">
        <f>F118</f>
        <v>1958112.727592356</v>
      </c>
      <c r="C119">
        <f t="shared" si="9"/>
        <v>252.05479452054792</v>
      </c>
      <c r="D119" s="6">
        <f>B119*$B$8</f>
        <v>426.55611251220228</v>
      </c>
      <c r="E119" s="6">
        <f>D119-C119</f>
        <v>174.50131799165436</v>
      </c>
      <c r="F119" s="6">
        <f>B119+E119</f>
        <v>1958287.2289103477</v>
      </c>
      <c r="G119" s="13">
        <f t="shared" si="10"/>
        <v>1958287.2289103477</v>
      </c>
      <c r="I119" s="37">
        <f t="shared" si="16"/>
        <v>18287.228910348495</v>
      </c>
      <c r="J119" s="37">
        <f t="shared" si="17"/>
        <v>48646.575342465672</v>
      </c>
      <c r="K119" s="36">
        <f t="shared" si="11"/>
        <v>97.914361445517386</v>
      </c>
      <c r="L119" s="36">
        <f t="shared" si="12"/>
        <v>100.34669021264067</v>
      </c>
      <c r="M119" s="35">
        <f t="shared" si="13"/>
        <v>1958287.2289103479</v>
      </c>
      <c r="N119" s="35">
        <f t="shared" si="14"/>
        <v>2006933.8042528136</v>
      </c>
    </row>
    <row r="120" spans="1:14" x14ac:dyDescent="0.15">
      <c r="A120" s="3">
        <f t="shared" si="15"/>
        <v>42851</v>
      </c>
      <c r="B120" s="6">
        <f>F119</f>
        <v>1958287.2289103477</v>
      </c>
      <c r="C120">
        <f t="shared" si="9"/>
        <v>252.05479452054792</v>
      </c>
      <c r="D120" s="6">
        <f>B120*$B$8</f>
        <v>426.59412595380957</v>
      </c>
      <c r="E120" s="6">
        <f>D120-C120</f>
        <v>174.53933143326165</v>
      </c>
      <c r="F120" s="6">
        <f>B120+E120</f>
        <v>1958461.768241781</v>
      </c>
      <c r="G120" s="13">
        <f t="shared" si="10"/>
        <v>1958461.7682417808</v>
      </c>
      <c r="I120" s="37">
        <f t="shared" si="16"/>
        <v>18461.768241781756</v>
      </c>
      <c r="J120" s="37">
        <f t="shared" si="17"/>
        <v>48898.630136986219</v>
      </c>
      <c r="K120" s="36">
        <f t="shared" si="11"/>
        <v>97.923088412089044</v>
      </c>
      <c r="L120" s="36">
        <f t="shared" si="12"/>
        <v>100.36801991893836</v>
      </c>
      <c r="M120" s="35">
        <f t="shared" si="13"/>
        <v>1958461.768241781</v>
      </c>
      <c r="N120" s="35">
        <f t="shared" si="14"/>
        <v>2007360.3983787671</v>
      </c>
    </row>
    <row r="121" spans="1:14" x14ac:dyDescent="0.15">
      <c r="A121" s="3">
        <f t="shared" si="15"/>
        <v>42852</v>
      </c>
      <c r="B121" s="6">
        <f>F120</f>
        <v>1958461.768241781</v>
      </c>
      <c r="C121">
        <f t="shared" si="9"/>
        <v>252.05479452054792</v>
      </c>
      <c r="D121" s="6">
        <f>B121*$B$8</f>
        <v>426.63214767628119</v>
      </c>
      <c r="E121" s="6">
        <f>D121-C121</f>
        <v>174.57735315573328</v>
      </c>
      <c r="F121" s="6">
        <f>B121+E121</f>
        <v>1958636.3455949367</v>
      </c>
      <c r="G121" s="13">
        <f t="shared" si="10"/>
        <v>1958636.3455949367</v>
      </c>
      <c r="I121" s="37">
        <f t="shared" si="16"/>
        <v>18636.345594937487</v>
      </c>
      <c r="J121" s="37">
        <f t="shared" si="17"/>
        <v>49150.684931506767</v>
      </c>
      <c r="K121" s="36">
        <f t="shared" si="11"/>
        <v>97.931817279746838</v>
      </c>
      <c r="L121" s="36">
        <f t="shared" si="12"/>
        <v>100.38935152632217</v>
      </c>
      <c r="M121" s="35">
        <f t="shared" si="13"/>
        <v>1958636.3455949365</v>
      </c>
      <c r="N121" s="35">
        <f t="shared" si="14"/>
        <v>2007787.0305264434</v>
      </c>
    </row>
    <row r="122" spans="1:14" x14ac:dyDescent="0.15">
      <c r="A122" s="3">
        <f t="shared" si="15"/>
        <v>42853</v>
      </c>
      <c r="B122" s="6">
        <f>F121</f>
        <v>1958636.3455949367</v>
      </c>
      <c r="C122">
        <f t="shared" si="9"/>
        <v>252.05479452054792</v>
      </c>
      <c r="D122" s="6">
        <f>B122*$B$8</f>
        <v>426.67017768142102</v>
      </c>
      <c r="E122" s="6">
        <f>D122-C122</f>
        <v>174.61538316087311</v>
      </c>
      <c r="F122" s="6">
        <f>B122+E122</f>
        <v>1958810.9609780975</v>
      </c>
      <c r="G122" s="13">
        <f t="shared" si="10"/>
        <v>1958810.9609780975</v>
      </c>
      <c r="I122" s="37">
        <f t="shared" si="16"/>
        <v>18810.960978098359</v>
      </c>
      <c r="J122" s="37">
        <f t="shared" si="17"/>
        <v>49402.739726027314</v>
      </c>
      <c r="K122" s="36">
        <f t="shared" si="11"/>
        <v>97.940548048904873</v>
      </c>
      <c r="L122" s="36">
        <f t="shared" si="12"/>
        <v>100.41068503520624</v>
      </c>
      <c r="M122" s="35">
        <f t="shared" si="13"/>
        <v>1958810.9609780973</v>
      </c>
      <c r="N122" s="35">
        <f t="shared" si="14"/>
        <v>2008213.7007041248</v>
      </c>
    </row>
    <row r="123" spans="1:14" x14ac:dyDescent="0.15">
      <c r="A123" s="3">
        <f t="shared" si="15"/>
        <v>42854</v>
      </c>
      <c r="B123" s="6">
        <f>F122</f>
        <v>1958810.9609780975</v>
      </c>
      <c r="C123">
        <f t="shared" si="9"/>
        <v>252.05479452054792</v>
      </c>
      <c r="D123" s="6">
        <f>B123*$B$8</f>
        <v>426.70821597103344</v>
      </c>
      <c r="E123" s="6">
        <f>D123-C123</f>
        <v>174.65342145048552</v>
      </c>
      <c r="F123" s="6">
        <f>B123+E123</f>
        <v>1958985.6143995479</v>
      </c>
      <c r="G123" s="13">
        <f t="shared" si="10"/>
        <v>1958985.6143995479</v>
      </c>
      <c r="I123" s="37">
        <f t="shared" si="16"/>
        <v>18985.614399548846</v>
      </c>
      <c r="J123" s="37">
        <f t="shared" si="17"/>
        <v>49654.794520547861</v>
      </c>
      <c r="K123" s="36">
        <f t="shared" si="11"/>
        <v>97.949280719977395</v>
      </c>
      <c r="L123" s="36">
        <f t="shared" si="12"/>
        <v>100.43202044600478</v>
      </c>
      <c r="M123" s="35">
        <f t="shared" si="13"/>
        <v>1958985.6143995479</v>
      </c>
      <c r="N123" s="35">
        <f t="shared" si="14"/>
        <v>2008640.4089200955</v>
      </c>
    </row>
    <row r="124" spans="1:14" x14ac:dyDescent="0.15">
      <c r="A124" s="3">
        <f t="shared" si="15"/>
        <v>42855</v>
      </c>
      <c r="B124" s="6">
        <f>F123</f>
        <v>1958985.6143995479</v>
      </c>
      <c r="C124">
        <f t="shared" si="9"/>
        <v>252.05479452054792</v>
      </c>
      <c r="D124" s="6">
        <f>B124*$B$8</f>
        <v>426.74626254692311</v>
      </c>
      <c r="E124" s="6">
        <f>D124-C124</f>
        <v>174.69146802637519</v>
      </c>
      <c r="F124" s="6">
        <f>B124+E124</f>
        <v>1959160.3058675744</v>
      </c>
      <c r="G124" s="13">
        <f t="shared" si="10"/>
        <v>1959160.3058675742</v>
      </c>
      <c r="I124" s="37">
        <f t="shared" si="16"/>
        <v>19160.305867575222</v>
      </c>
      <c r="J124" s="37">
        <f t="shared" si="17"/>
        <v>49906.849315068408</v>
      </c>
      <c r="K124" s="36">
        <f t="shared" si="11"/>
        <v>97.958015293378708</v>
      </c>
      <c r="L124" s="36">
        <f t="shared" si="12"/>
        <v>100.45335775913213</v>
      </c>
      <c r="M124" s="35">
        <f t="shared" si="13"/>
        <v>1959160.3058675742</v>
      </c>
      <c r="N124" s="35">
        <f t="shared" si="14"/>
        <v>2009067.1551826426</v>
      </c>
    </row>
    <row r="125" spans="1:14" x14ac:dyDescent="0.15">
      <c r="A125" s="3">
        <f t="shared" si="15"/>
        <v>42856</v>
      </c>
      <c r="B125" s="6">
        <f>F124</f>
        <v>1959160.3058675744</v>
      </c>
      <c r="C125">
        <f t="shared" si="9"/>
        <v>252.05479452054792</v>
      </c>
      <c r="D125" s="6">
        <f>B125*$B$8</f>
        <v>426.78431741089514</v>
      </c>
      <c r="E125" s="6">
        <f>D125-C125</f>
        <v>174.72952289034723</v>
      </c>
      <c r="F125" s="6">
        <f>B125+E125</f>
        <v>1959335.0353904648</v>
      </c>
      <c r="G125" s="13">
        <f t="shared" si="10"/>
        <v>1959335.0353904646</v>
      </c>
      <c r="I125" s="37">
        <f t="shared" si="16"/>
        <v>19335.035390465568</v>
      </c>
      <c r="J125" s="37">
        <f t="shared" si="17"/>
        <v>50158.904109588955</v>
      </c>
      <c r="K125" s="36">
        <f t="shared" si="11"/>
        <v>97.966751769523228</v>
      </c>
      <c r="L125" s="36">
        <f t="shared" si="12"/>
        <v>100.47469697500267</v>
      </c>
      <c r="M125" s="35">
        <f t="shared" si="13"/>
        <v>1959335.0353904646</v>
      </c>
      <c r="N125" s="35">
        <f t="shared" si="14"/>
        <v>2009493.9395000534</v>
      </c>
    </row>
    <row r="126" spans="1:14" x14ac:dyDescent="0.15">
      <c r="A126" s="3">
        <f t="shared" si="15"/>
        <v>42857</v>
      </c>
      <c r="B126" s="6">
        <f>F125</f>
        <v>1959335.0353904648</v>
      </c>
      <c r="C126">
        <f t="shared" si="9"/>
        <v>252.05479452054792</v>
      </c>
      <c r="D126" s="6">
        <f>B126*$B$8</f>
        <v>426.82238056475495</v>
      </c>
      <c r="E126" s="6">
        <f>D126-C126</f>
        <v>174.76758604420704</v>
      </c>
      <c r="F126" s="6">
        <f>B126+E126</f>
        <v>1959509.8029765091</v>
      </c>
      <c r="G126" s="13">
        <f t="shared" si="10"/>
        <v>1959509.8029765089</v>
      </c>
      <c r="I126" s="37">
        <f t="shared" si="16"/>
        <v>19509.802976509774</v>
      </c>
      <c r="J126" s="37">
        <f t="shared" si="17"/>
        <v>50410.958904109502</v>
      </c>
      <c r="K126" s="36">
        <f t="shared" si="11"/>
        <v>97.975490148825443</v>
      </c>
      <c r="L126" s="36">
        <f t="shared" si="12"/>
        <v>100.49603809403092</v>
      </c>
      <c r="M126" s="35">
        <f t="shared" si="13"/>
        <v>1959509.8029765086</v>
      </c>
      <c r="N126" s="35">
        <f t="shared" si="14"/>
        <v>2009920.7618806183</v>
      </c>
    </row>
    <row r="127" spans="1:14" x14ac:dyDescent="0.15">
      <c r="A127" s="3">
        <f t="shared" si="15"/>
        <v>42858</v>
      </c>
      <c r="B127" s="6">
        <f>F126</f>
        <v>1959509.8029765091</v>
      </c>
      <c r="C127">
        <f t="shared" si="9"/>
        <v>252.05479452054792</v>
      </c>
      <c r="D127" s="6">
        <f>B127*$B$8</f>
        <v>426.86045201030845</v>
      </c>
      <c r="E127" s="6">
        <f>D127-C127</f>
        <v>174.80565748976053</v>
      </c>
      <c r="F127" s="6">
        <f>B127+E127</f>
        <v>1959684.6086339988</v>
      </c>
      <c r="G127" s="13">
        <f t="shared" si="10"/>
        <v>1959684.6086339988</v>
      </c>
      <c r="I127" s="37">
        <f t="shared" si="16"/>
        <v>19684.608633999535</v>
      </c>
      <c r="J127" s="37">
        <f t="shared" si="17"/>
        <v>50663.013698630049</v>
      </c>
      <c r="K127" s="36">
        <f t="shared" si="11"/>
        <v>97.984230431699942</v>
      </c>
      <c r="L127" s="36">
        <f t="shared" si="12"/>
        <v>100.51738111663144</v>
      </c>
      <c r="M127" s="35">
        <f t="shared" si="13"/>
        <v>1959684.608633999</v>
      </c>
      <c r="N127" s="35">
        <f t="shared" si="14"/>
        <v>2010347.622332629</v>
      </c>
    </row>
    <row r="128" spans="1:14" x14ac:dyDescent="0.15">
      <c r="A128" s="3">
        <f t="shared" si="15"/>
        <v>42859</v>
      </c>
      <c r="B128" s="6">
        <f>F127</f>
        <v>1959684.6086339988</v>
      </c>
      <c r="C128">
        <f t="shared" si="9"/>
        <v>252.05479452054792</v>
      </c>
      <c r="D128" s="6">
        <f>B128*$B$8</f>
        <v>426.89853174936189</v>
      </c>
      <c r="E128" s="6">
        <f>D128-C128</f>
        <v>174.84373722881398</v>
      </c>
      <c r="F128" s="6">
        <f>B128+E128</f>
        <v>1959859.4523712276</v>
      </c>
      <c r="G128" s="13">
        <f t="shared" si="10"/>
        <v>1959859.4523712276</v>
      </c>
      <c r="I128" s="37">
        <f t="shared" si="16"/>
        <v>19859.452371228348</v>
      </c>
      <c r="J128" s="37">
        <f t="shared" si="17"/>
        <v>50915.068493150597</v>
      </c>
      <c r="K128" s="36">
        <f t="shared" si="11"/>
        <v>97.992972618561382</v>
      </c>
      <c r="L128" s="36">
        <f t="shared" si="12"/>
        <v>100.53872604321892</v>
      </c>
      <c r="M128" s="35">
        <f t="shared" si="13"/>
        <v>1959859.4523712278</v>
      </c>
      <c r="N128" s="35">
        <f t="shared" si="14"/>
        <v>2010774.5208643782</v>
      </c>
    </row>
    <row r="129" spans="1:14" x14ac:dyDescent="0.15">
      <c r="A129" s="3">
        <f t="shared" si="15"/>
        <v>42860</v>
      </c>
      <c r="B129" s="6">
        <f>F128</f>
        <v>1959859.4523712276</v>
      </c>
      <c r="C129">
        <f t="shared" si="9"/>
        <v>252.05479452054792</v>
      </c>
      <c r="D129" s="6">
        <f>B129*$B$8</f>
        <v>426.93661978372199</v>
      </c>
      <c r="E129" s="6">
        <f>D129-C129</f>
        <v>174.88182526317408</v>
      </c>
      <c r="F129" s="6">
        <f>B129+E129</f>
        <v>1960034.3341964907</v>
      </c>
      <c r="G129" s="13">
        <f t="shared" si="10"/>
        <v>1960034.3341964907</v>
      </c>
      <c r="I129" s="37">
        <f t="shared" si="16"/>
        <v>20034.334196491523</v>
      </c>
      <c r="J129" s="37">
        <f t="shared" si="17"/>
        <v>51167.123287671144</v>
      </c>
      <c r="K129" s="36">
        <f t="shared" si="11"/>
        <v>98.001716709824535</v>
      </c>
      <c r="L129" s="36">
        <f t="shared" si="12"/>
        <v>100.56007287420809</v>
      </c>
      <c r="M129" s="35">
        <f t="shared" si="13"/>
        <v>1960034.3341964907</v>
      </c>
      <c r="N129" s="35">
        <f t="shared" si="14"/>
        <v>2011201.4574841619</v>
      </c>
    </row>
    <row r="130" spans="1:14" x14ac:dyDescent="0.15">
      <c r="A130" s="3">
        <f t="shared" si="15"/>
        <v>42861</v>
      </c>
      <c r="B130" s="6">
        <f>F129</f>
        <v>1960034.3341964907</v>
      </c>
      <c r="C130">
        <f t="shared" si="9"/>
        <v>252.05479452054792</v>
      </c>
      <c r="D130" s="6">
        <f>B130*$B$8</f>
        <v>426.97471611519569</v>
      </c>
      <c r="E130" s="6">
        <f>D130-C130</f>
        <v>174.91992159464778</v>
      </c>
      <c r="F130" s="6">
        <f>B130+E130</f>
        <v>1960209.2541180854</v>
      </c>
      <c r="G130" s="13">
        <f t="shared" si="10"/>
        <v>1960209.2541180854</v>
      </c>
      <c r="I130" s="37">
        <f t="shared" si="16"/>
        <v>20209.25411808617</v>
      </c>
      <c r="J130" s="37">
        <f t="shared" si="17"/>
        <v>51419.178082191691</v>
      </c>
      <c r="K130" s="36">
        <f t="shared" si="11"/>
        <v>98.01046270590426</v>
      </c>
      <c r="L130" s="36">
        <f t="shared" si="12"/>
        <v>100.58142161001385</v>
      </c>
      <c r="M130" s="35">
        <f t="shared" si="13"/>
        <v>1960209.2541180851</v>
      </c>
      <c r="N130" s="35">
        <f t="shared" si="14"/>
        <v>2011628.4322002768</v>
      </c>
    </row>
    <row r="131" spans="1:14" x14ac:dyDescent="0.15">
      <c r="A131" s="3">
        <f t="shared" si="15"/>
        <v>42862</v>
      </c>
      <c r="B131" s="6">
        <f>F130</f>
        <v>1960209.2541180854</v>
      </c>
      <c r="C131">
        <f t="shared" si="9"/>
        <v>252.05479452054792</v>
      </c>
      <c r="D131" s="6">
        <f>B131*$B$8</f>
        <v>427.01282074559055</v>
      </c>
      <c r="E131" s="6">
        <f>D131-C131</f>
        <v>174.95802622504263</v>
      </c>
      <c r="F131" s="6">
        <f>B131+E131</f>
        <v>1960384.2121443104</v>
      </c>
      <c r="G131" s="13">
        <f t="shared" si="10"/>
        <v>1960384.2121443104</v>
      </c>
      <c r="I131" s="37">
        <f t="shared" si="16"/>
        <v>20384.212144311212</v>
      </c>
      <c r="J131" s="37">
        <f t="shared" si="17"/>
        <v>51671.232876712238</v>
      </c>
      <c r="K131" s="36">
        <f t="shared" si="11"/>
        <v>98.019210607215513</v>
      </c>
      <c r="L131" s="36">
        <f t="shared" si="12"/>
        <v>100.60277225105112</v>
      </c>
      <c r="M131" s="35">
        <f t="shared" si="13"/>
        <v>1960384.2121443101</v>
      </c>
      <c r="N131" s="35">
        <f t="shared" si="14"/>
        <v>2012055.4450210226</v>
      </c>
    </row>
    <row r="132" spans="1:14" x14ac:dyDescent="0.15">
      <c r="A132" s="3">
        <f t="shared" si="15"/>
        <v>42863</v>
      </c>
      <c r="B132" s="6">
        <f>F131</f>
        <v>1960384.2121443104</v>
      </c>
      <c r="C132">
        <f t="shared" si="9"/>
        <v>252.05479452054792</v>
      </c>
      <c r="D132" s="6">
        <f>B132*$B$8</f>
        <v>427.05093367671435</v>
      </c>
      <c r="E132" s="6">
        <f>D132-C132</f>
        <v>174.99613915616644</v>
      </c>
      <c r="F132" s="6">
        <f>B132+E132</f>
        <v>1960559.2082834665</v>
      </c>
      <c r="G132" s="13">
        <f t="shared" si="10"/>
        <v>1960559.2082834665</v>
      </c>
      <c r="I132" s="37">
        <f t="shared" si="16"/>
        <v>20559.208283467378</v>
      </c>
      <c r="J132" s="37">
        <f t="shared" si="17"/>
        <v>51923.287671232785</v>
      </c>
      <c r="K132" s="36">
        <f t="shared" si="11"/>
        <v>98.027960414173322</v>
      </c>
      <c r="L132" s="36">
        <f t="shared" si="12"/>
        <v>100.62412479773496</v>
      </c>
      <c r="M132" s="35">
        <f t="shared" si="13"/>
        <v>1960559.2082834663</v>
      </c>
      <c r="N132" s="35">
        <f t="shared" si="14"/>
        <v>2012482.4959546991</v>
      </c>
    </row>
    <row r="133" spans="1:14" x14ac:dyDescent="0.15">
      <c r="A133" s="3">
        <f t="shared" si="15"/>
        <v>42864</v>
      </c>
      <c r="B133" s="6">
        <f>F132</f>
        <v>1960559.2082834665</v>
      </c>
      <c r="C133">
        <f t="shared" si="9"/>
        <v>252.05479452054792</v>
      </c>
      <c r="D133" s="6">
        <f>B133*$B$8</f>
        <v>427.08905491037535</v>
      </c>
      <c r="E133" s="6">
        <f>D133-C133</f>
        <v>175.03426038982744</v>
      </c>
      <c r="F133" s="6">
        <f>B133+E133</f>
        <v>1960734.2425438564</v>
      </c>
      <c r="G133" s="13">
        <f t="shared" si="10"/>
        <v>1960734.2425438564</v>
      </c>
      <c r="I133" s="37">
        <f t="shared" si="16"/>
        <v>20734.242543857206</v>
      </c>
      <c r="J133" s="37">
        <f t="shared" si="17"/>
        <v>52175.342465753332</v>
      </c>
      <c r="K133" s="36">
        <f t="shared" si="11"/>
        <v>98.036712127192814</v>
      </c>
      <c r="L133" s="36">
        <f t="shared" si="12"/>
        <v>100.64547925048048</v>
      </c>
      <c r="M133" s="35">
        <f t="shared" si="13"/>
        <v>1960734.2425438561</v>
      </c>
      <c r="N133" s="35">
        <f t="shared" si="14"/>
        <v>2012909.5850096093</v>
      </c>
    </row>
    <row r="134" spans="1:14" x14ac:dyDescent="0.15">
      <c r="A134" s="3">
        <f t="shared" si="15"/>
        <v>42865</v>
      </c>
      <c r="B134" s="6">
        <f>F133</f>
        <v>1960734.2425438564</v>
      </c>
      <c r="C134">
        <f t="shared" si="9"/>
        <v>252.05479452054792</v>
      </c>
      <c r="D134" s="6">
        <f>B134*$B$8</f>
        <v>427.12718444838214</v>
      </c>
      <c r="E134" s="6">
        <f>D134-C134</f>
        <v>175.07238992783422</v>
      </c>
      <c r="F134" s="6">
        <f>B134+E134</f>
        <v>1960909.3149337843</v>
      </c>
      <c r="G134" s="13">
        <f t="shared" si="10"/>
        <v>1960909.3149337841</v>
      </c>
      <c r="I134" s="37">
        <f t="shared" si="16"/>
        <v>20909.314933785041</v>
      </c>
      <c r="J134" s="37">
        <f t="shared" si="17"/>
        <v>52427.39726027388</v>
      </c>
      <c r="K134" s="36">
        <f t="shared" si="11"/>
        <v>98.045465746689203</v>
      </c>
      <c r="L134" s="36">
        <f t="shared" si="12"/>
        <v>100.6668356097029</v>
      </c>
      <c r="M134" s="35">
        <f t="shared" si="13"/>
        <v>1960909.3149337841</v>
      </c>
      <c r="N134" s="35">
        <f t="shared" si="14"/>
        <v>2013336.7121940581</v>
      </c>
    </row>
    <row r="135" spans="1:14" x14ac:dyDescent="0.15">
      <c r="A135" s="3">
        <f t="shared" si="15"/>
        <v>42866</v>
      </c>
      <c r="B135" s="6">
        <f>F134</f>
        <v>1960909.3149337843</v>
      </c>
      <c r="C135">
        <f t="shared" si="9"/>
        <v>252.05479452054792</v>
      </c>
      <c r="D135" s="6">
        <f>B135*$B$8</f>
        <v>427.16532229254381</v>
      </c>
      <c r="E135" s="6">
        <f>D135-C135</f>
        <v>175.11052777199589</v>
      </c>
      <c r="F135" s="6">
        <f>B135+E135</f>
        <v>1961084.4254615563</v>
      </c>
      <c r="G135" s="13">
        <f t="shared" si="10"/>
        <v>1961084.4254615563</v>
      </c>
      <c r="I135" s="37">
        <f t="shared" si="16"/>
        <v>21084.425461557035</v>
      </c>
      <c r="J135" s="37">
        <f t="shared" si="17"/>
        <v>52679.452054794427</v>
      </c>
      <c r="K135" s="36">
        <f t="shared" si="11"/>
        <v>98.054221273077815</v>
      </c>
      <c r="L135" s="36">
        <f t="shared" si="12"/>
        <v>100.68819387581753</v>
      </c>
      <c r="M135" s="35">
        <f t="shared" si="13"/>
        <v>1961084.4254615563</v>
      </c>
      <c r="N135" s="35">
        <f t="shared" si="14"/>
        <v>2013763.8775163507</v>
      </c>
    </row>
    <row r="136" spans="1:14" x14ac:dyDescent="0.15">
      <c r="A136" s="3">
        <f t="shared" si="15"/>
        <v>42867</v>
      </c>
      <c r="B136" s="6">
        <f>F135</f>
        <v>1961084.4254615563</v>
      </c>
      <c r="C136">
        <f t="shared" si="9"/>
        <v>252.05479452054792</v>
      </c>
      <c r="D136" s="6">
        <f>B136*$B$8</f>
        <v>427.20346844466968</v>
      </c>
      <c r="E136" s="6">
        <f>D136-C136</f>
        <v>175.14867392412177</v>
      </c>
      <c r="F136" s="6">
        <f>B136+E136</f>
        <v>1961259.5741354804</v>
      </c>
      <c r="G136" s="13">
        <f t="shared" si="10"/>
        <v>1961259.5741354804</v>
      </c>
      <c r="I136" s="37">
        <f t="shared" si="16"/>
        <v>21259.574135481158</v>
      </c>
      <c r="J136" s="37">
        <f t="shared" si="17"/>
        <v>52931.506849314974</v>
      </c>
      <c r="K136" s="36">
        <f t="shared" si="11"/>
        <v>98.062978706774018</v>
      </c>
      <c r="L136" s="36">
        <f t="shared" si="12"/>
        <v>100.70955404923977</v>
      </c>
      <c r="M136" s="35">
        <f t="shared" si="13"/>
        <v>1961259.5741354802</v>
      </c>
      <c r="N136" s="35">
        <f t="shared" si="14"/>
        <v>2014191.0809847955</v>
      </c>
    </row>
    <row r="137" spans="1:14" x14ac:dyDescent="0.15">
      <c r="A137" s="3">
        <f t="shared" si="15"/>
        <v>42868</v>
      </c>
      <c r="B137" s="6">
        <f>F136</f>
        <v>1961259.5741354804</v>
      </c>
      <c r="C137">
        <f t="shared" si="9"/>
        <v>252.05479452054792</v>
      </c>
      <c r="D137" s="6">
        <f>B137*$B$8</f>
        <v>427.24162290656966</v>
      </c>
      <c r="E137" s="6">
        <f>D137-C137</f>
        <v>175.18682838602174</v>
      </c>
      <c r="F137" s="6">
        <f>B137+E137</f>
        <v>1961434.7609638665</v>
      </c>
      <c r="G137" s="13">
        <f t="shared" si="10"/>
        <v>1961434.7609638665</v>
      </c>
      <c r="I137" s="37">
        <f t="shared" si="16"/>
        <v>21434.760963867178</v>
      </c>
      <c r="J137" s="37">
        <f t="shared" si="17"/>
        <v>53183.561643835521</v>
      </c>
      <c r="K137" s="36">
        <f t="shared" si="11"/>
        <v>98.071738048193325</v>
      </c>
      <c r="L137" s="36">
        <f t="shared" si="12"/>
        <v>100.7309161303851</v>
      </c>
      <c r="M137" s="35">
        <f t="shared" si="13"/>
        <v>1961434.7609638665</v>
      </c>
      <c r="N137" s="35">
        <f t="shared" si="14"/>
        <v>2014618.3226077021</v>
      </c>
    </row>
    <row r="138" spans="1:14" x14ac:dyDescent="0.15">
      <c r="A138" s="3">
        <f t="shared" si="15"/>
        <v>42869</v>
      </c>
      <c r="B138" s="6">
        <f>F137</f>
        <v>1961434.7609638665</v>
      </c>
      <c r="C138">
        <f t="shared" si="9"/>
        <v>252.05479452054792</v>
      </c>
      <c r="D138" s="6">
        <f>B138*$B$8</f>
        <v>427.27978568005386</v>
      </c>
      <c r="E138" s="6">
        <f>D138-C138</f>
        <v>175.22499115950595</v>
      </c>
      <c r="F138" s="6">
        <f>B138+E138</f>
        <v>1961609.985955026</v>
      </c>
      <c r="G138" s="13">
        <f t="shared" si="10"/>
        <v>1961609.985955026</v>
      </c>
      <c r="I138" s="37">
        <f t="shared" si="16"/>
        <v>21609.985955026685</v>
      </c>
      <c r="J138" s="37">
        <f t="shared" si="17"/>
        <v>53435.616438356068</v>
      </c>
      <c r="K138" s="36">
        <f t="shared" si="11"/>
        <v>98.080499297751302</v>
      </c>
      <c r="L138" s="36">
        <f t="shared" si="12"/>
        <v>100.75228011966911</v>
      </c>
      <c r="M138" s="35">
        <f t="shared" si="13"/>
        <v>1961609.9859550262</v>
      </c>
      <c r="N138" s="35">
        <f t="shared" si="14"/>
        <v>2015045.6023933822</v>
      </c>
    </row>
    <row r="139" spans="1:14" x14ac:dyDescent="0.15">
      <c r="A139" s="3">
        <f t="shared" si="15"/>
        <v>42870</v>
      </c>
      <c r="B139" s="6">
        <f>F138</f>
        <v>1961609.985955026</v>
      </c>
      <c r="C139">
        <f t="shared" si="9"/>
        <v>252.05479452054792</v>
      </c>
      <c r="D139" s="6">
        <f>B139*$B$8</f>
        <v>427.31795676693298</v>
      </c>
      <c r="E139" s="6">
        <f>D139-C139</f>
        <v>175.26316224638506</v>
      </c>
      <c r="F139" s="6">
        <f>B139+E139</f>
        <v>1961785.2491172724</v>
      </c>
      <c r="G139" s="13">
        <f t="shared" si="10"/>
        <v>1961785.2491172724</v>
      </c>
      <c r="I139" s="37">
        <f t="shared" si="16"/>
        <v>21785.24911727307</v>
      </c>
      <c r="J139" s="37">
        <f t="shared" si="17"/>
        <v>53687.671232876615</v>
      </c>
      <c r="K139" s="36">
        <f t="shared" si="11"/>
        <v>98.089262455863619</v>
      </c>
      <c r="L139" s="36">
        <f t="shared" si="12"/>
        <v>100.77364601750745</v>
      </c>
      <c r="M139" s="35">
        <f t="shared" si="13"/>
        <v>1961785.2491172724</v>
      </c>
      <c r="N139" s="35">
        <f t="shared" si="14"/>
        <v>2015472.920350149</v>
      </c>
    </row>
    <row r="140" spans="1:14" x14ac:dyDescent="0.15">
      <c r="A140" s="3">
        <f t="shared" si="15"/>
        <v>42871</v>
      </c>
      <c r="B140" s="6">
        <f>F139</f>
        <v>1961785.2491172724</v>
      </c>
      <c r="C140">
        <f t="shared" si="9"/>
        <v>252.05479452054792</v>
      </c>
      <c r="D140" s="6">
        <f>B140*$B$8</f>
        <v>427.35613616901793</v>
      </c>
      <c r="E140" s="6">
        <f>D140-C140</f>
        <v>175.30134164847001</v>
      </c>
      <c r="F140" s="6">
        <f>B140+E140</f>
        <v>1961960.5504589209</v>
      </c>
      <c r="G140" s="13">
        <f t="shared" si="10"/>
        <v>1961960.5504589209</v>
      </c>
      <c r="I140" s="37">
        <f t="shared" si="16"/>
        <v>21960.550458921538</v>
      </c>
      <c r="J140" s="37">
        <f t="shared" si="17"/>
        <v>53939.726027397162</v>
      </c>
      <c r="K140" s="36">
        <f t="shared" si="11"/>
        <v>98.09802752294604</v>
      </c>
      <c r="L140" s="36">
        <f t="shared" si="12"/>
        <v>100.7950138243159</v>
      </c>
      <c r="M140" s="35">
        <f t="shared" si="13"/>
        <v>1961960.5504589209</v>
      </c>
      <c r="N140" s="35">
        <f t="shared" si="14"/>
        <v>2015900.2764863181</v>
      </c>
    </row>
    <row r="141" spans="1:14" x14ac:dyDescent="0.15">
      <c r="A141" s="3">
        <f t="shared" si="15"/>
        <v>42872</v>
      </c>
      <c r="B141" s="6">
        <f>F140</f>
        <v>1961960.5504589209</v>
      </c>
      <c r="C141">
        <f t="shared" si="9"/>
        <v>252.05479452054792</v>
      </c>
      <c r="D141" s="6">
        <f>B141*$B$8</f>
        <v>427.39432388812014</v>
      </c>
      <c r="E141" s="6">
        <f>D141-C141</f>
        <v>175.33952936757223</v>
      </c>
      <c r="F141" s="6">
        <f>B141+E141</f>
        <v>1962135.8899882885</v>
      </c>
      <c r="G141" s="13">
        <f t="shared" si="10"/>
        <v>1962135.8899882885</v>
      </c>
      <c r="I141" s="37">
        <f t="shared" si="16"/>
        <v>22135.889988289109</v>
      </c>
      <c r="J141" s="37">
        <f t="shared" si="17"/>
        <v>54191.78082191771</v>
      </c>
      <c r="K141" s="36">
        <f t="shared" si="11"/>
        <v>98.106794499414434</v>
      </c>
      <c r="L141" s="36">
        <f t="shared" si="12"/>
        <v>100.81638354051032</v>
      </c>
      <c r="M141" s="35">
        <f t="shared" si="13"/>
        <v>1962135.8899882885</v>
      </c>
      <c r="N141" s="35">
        <f t="shared" si="14"/>
        <v>2016327.6708102063</v>
      </c>
    </row>
    <row r="142" spans="1:14" x14ac:dyDescent="0.15">
      <c r="A142" s="3">
        <f t="shared" si="15"/>
        <v>42873</v>
      </c>
      <c r="B142" s="6">
        <f>F141</f>
        <v>1962135.8899882885</v>
      </c>
      <c r="C142">
        <f t="shared" ref="C142:C205" si="18">$E$8*$E$6/100</f>
        <v>252.05479452054792</v>
      </c>
      <c r="D142" s="6">
        <f>B142*$B$8</f>
        <v>427.43251992605138</v>
      </c>
      <c r="E142" s="6">
        <f>D142-C142</f>
        <v>175.37772540550347</v>
      </c>
      <c r="F142" s="6">
        <f>B142+E142</f>
        <v>1962311.2677136941</v>
      </c>
      <c r="G142" s="13">
        <f t="shared" si="10"/>
        <v>1962311.2677136939</v>
      </c>
      <c r="I142" s="37">
        <f t="shared" si="16"/>
        <v>22311.267713694611</v>
      </c>
      <c r="J142" s="37">
        <f t="shared" si="17"/>
        <v>54443.835616438257</v>
      </c>
      <c r="K142" s="36">
        <f t="shared" si="11"/>
        <v>98.115563385684695</v>
      </c>
      <c r="L142" s="36">
        <f t="shared" si="12"/>
        <v>100.83775516650661</v>
      </c>
      <c r="M142" s="35">
        <f t="shared" si="13"/>
        <v>1962311.2677136939</v>
      </c>
      <c r="N142" s="35">
        <f t="shared" si="14"/>
        <v>2016755.1033301321</v>
      </c>
    </row>
    <row r="143" spans="1:14" x14ac:dyDescent="0.15">
      <c r="A143" s="3">
        <f t="shared" si="15"/>
        <v>42874</v>
      </c>
      <c r="B143" s="6">
        <f>F142</f>
        <v>1962311.2677136941</v>
      </c>
      <c r="C143">
        <f t="shared" si="18"/>
        <v>252.05479452054792</v>
      </c>
      <c r="D143" s="6">
        <f>B143*$B$8</f>
        <v>427.47072428462383</v>
      </c>
      <c r="E143" s="6">
        <f>D143-C143</f>
        <v>175.41592976407591</v>
      </c>
      <c r="F143" s="6">
        <f>B143+E143</f>
        <v>1962486.6836434582</v>
      </c>
      <c r="G143" s="13">
        <f t="shared" ref="G143:G206" si="19">B143+B143*$B$8-C143</f>
        <v>1962486.6836434582</v>
      </c>
      <c r="I143" s="37">
        <f t="shared" si="16"/>
        <v>22486.683643458688</v>
      </c>
      <c r="J143" s="37">
        <f t="shared" si="17"/>
        <v>54695.890410958804</v>
      </c>
      <c r="K143" s="36">
        <f t="shared" ref="K143:K206" si="20">G143/$E$6*100</f>
        <v>98.124334182172916</v>
      </c>
      <c r="L143" s="36">
        <f t="shared" ref="L143:L206" si="21">K143+J143/$E$6*100</f>
        <v>100.85912870272085</v>
      </c>
      <c r="M143" s="35">
        <f t="shared" ref="M143:M206" si="22">K143*$E$6/100</f>
        <v>1962486.6836434582</v>
      </c>
      <c r="N143" s="35">
        <f t="shared" ref="N143:N206" si="23">L143*$E$6/100</f>
        <v>2017182.574054417</v>
      </c>
    </row>
    <row r="144" spans="1:14" x14ac:dyDescent="0.15">
      <c r="A144" s="3">
        <f t="shared" ref="A144:A207" si="24">A143+1</f>
        <v>42875</v>
      </c>
      <c r="B144" s="6">
        <f>F143</f>
        <v>1962486.6836434582</v>
      </c>
      <c r="C144">
        <f t="shared" si="18"/>
        <v>252.05479452054792</v>
      </c>
      <c r="D144" s="6">
        <f>B144*$B$8</f>
        <v>427.50893696565009</v>
      </c>
      <c r="E144" s="6">
        <f>D144-C144</f>
        <v>175.45414244510218</v>
      </c>
      <c r="F144" s="6">
        <f>B144+E144</f>
        <v>1962662.1377859032</v>
      </c>
      <c r="G144" s="13">
        <f t="shared" si="19"/>
        <v>1962662.1377859032</v>
      </c>
      <c r="I144" s="37">
        <f t="shared" ref="I144:I207" si="25">I143+E144</f>
        <v>22662.137785903789</v>
      </c>
      <c r="J144" s="37">
        <f t="shared" ref="J144:J207" si="26">J143+C144</f>
        <v>54947.945205479351</v>
      </c>
      <c r="K144" s="36">
        <f t="shared" si="20"/>
        <v>98.133106889295163</v>
      </c>
      <c r="L144" s="36">
        <f t="shared" si="21"/>
        <v>100.88050414956913</v>
      </c>
      <c r="M144" s="35">
        <f t="shared" si="22"/>
        <v>1962662.1377859032</v>
      </c>
      <c r="N144" s="35">
        <f t="shared" si="23"/>
        <v>2017610.0829913828</v>
      </c>
    </row>
    <row r="145" spans="1:14" x14ac:dyDescent="0.15">
      <c r="A145" s="3">
        <f t="shared" si="24"/>
        <v>42876</v>
      </c>
      <c r="B145" s="6">
        <f>F144</f>
        <v>1962662.1377859032</v>
      </c>
      <c r="C145">
        <f t="shared" si="18"/>
        <v>252.05479452054792</v>
      </c>
      <c r="D145" s="6">
        <f>B145*$B$8</f>
        <v>427.54715797094303</v>
      </c>
      <c r="E145" s="6">
        <f>D145-C145</f>
        <v>175.49236345039512</v>
      </c>
      <c r="F145" s="6">
        <f>B145+E145</f>
        <v>1962837.6301493535</v>
      </c>
      <c r="G145" s="13">
        <f t="shared" si="19"/>
        <v>1962837.6301493535</v>
      </c>
      <c r="I145" s="37">
        <f t="shared" si="25"/>
        <v>22837.630149354183</v>
      </c>
      <c r="J145" s="37">
        <f t="shared" si="26"/>
        <v>55199.999999999898</v>
      </c>
      <c r="K145" s="36">
        <f t="shared" si="20"/>
        <v>98.141881507467673</v>
      </c>
      <c r="L145" s="36">
        <f t="shared" si="21"/>
        <v>100.90188150746766</v>
      </c>
      <c r="M145" s="35">
        <f t="shared" si="22"/>
        <v>1962837.6301493535</v>
      </c>
      <c r="N145" s="35">
        <f t="shared" si="23"/>
        <v>2018037.6301493531</v>
      </c>
    </row>
    <row r="146" spans="1:14" x14ac:dyDescent="0.15">
      <c r="A146" s="3">
        <f t="shared" si="24"/>
        <v>42877</v>
      </c>
      <c r="B146" s="6">
        <f>F145</f>
        <v>1962837.6301493535</v>
      </c>
      <c r="C146">
        <f t="shared" si="18"/>
        <v>252.05479452054792</v>
      </c>
      <c r="D146" s="6">
        <f>B146*$B$8</f>
        <v>427.58538730231612</v>
      </c>
      <c r="E146" s="6">
        <f>D146-C146</f>
        <v>175.53059278176821</v>
      </c>
      <c r="F146" s="6">
        <f>B146+E146</f>
        <v>1963013.1607421353</v>
      </c>
      <c r="G146" s="13">
        <f t="shared" si="19"/>
        <v>1963013.1607421353</v>
      </c>
      <c r="I146" s="37">
        <f t="shared" si="25"/>
        <v>23013.160742135951</v>
      </c>
      <c r="J146" s="37">
        <f t="shared" si="26"/>
        <v>55452.054794520445</v>
      </c>
      <c r="K146" s="36">
        <f t="shared" si="20"/>
        <v>98.150658037106766</v>
      </c>
      <c r="L146" s="36">
        <f t="shared" si="21"/>
        <v>100.92326077683279</v>
      </c>
      <c r="M146" s="35">
        <f t="shared" si="22"/>
        <v>1963013.1607421353</v>
      </c>
      <c r="N146" s="35">
        <f t="shared" si="23"/>
        <v>2018465.2155366559</v>
      </c>
    </row>
    <row r="147" spans="1:14" x14ac:dyDescent="0.15">
      <c r="A147" s="3">
        <f t="shared" si="24"/>
        <v>42878</v>
      </c>
      <c r="B147" s="6">
        <f>F146</f>
        <v>1963013.1607421353</v>
      </c>
      <c r="C147">
        <f t="shared" si="18"/>
        <v>252.05479452054792</v>
      </c>
      <c r="D147" s="6">
        <f>B147*$B$8</f>
        <v>427.62362496158306</v>
      </c>
      <c r="E147" s="6">
        <f>D147-C147</f>
        <v>175.56883044103515</v>
      </c>
      <c r="F147" s="6">
        <f>B147+E147</f>
        <v>1963188.7295725762</v>
      </c>
      <c r="G147" s="13">
        <f t="shared" si="19"/>
        <v>1963188.7295725762</v>
      </c>
      <c r="I147" s="37">
        <f t="shared" si="25"/>
        <v>23188.729572576987</v>
      </c>
      <c r="J147" s="37">
        <f t="shared" si="26"/>
        <v>55704.109589040992</v>
      </c>
      <c r="K147" s="36">
        <f t="shared" si="20"/>
        <v>98.15943647862882</v>
      </c>
      <c r="L147" s="36">
        <f t="shared" si="21"/>
        <v>100.94464195808087</v>
      </c>
      <c r="M147" s="35">
        <f t="shared" si="22"/>
        <v>1963188.7295725762</v>
      </c>
      <c r="N147" s="35">
        <f t="shared" si="23"/>
        <v>2018892.8391616172</v>
      </c>
    </row>
    <row r="148" spans="1:14" x14ac:dyDescent="0.15">
      <c r="A148" s="3">
        <f t="shared" si="24"/>
        <v>42879</v>
      </c>
      <c r="B148" s="6">
        <f>F147</f>
        <v>1963188.7295725762</v>
      </c>
      <c r="C148">
        <f t="shared" si="18"/>
        <v>252.05479452054792</v>
      </c>
      <c r="D148" s="6">
        <f>B148*$B$8</f>
        <v>427.66187095055801</v>
      </c>
      <c r="E148" s="6">
        <f>D148-C148</f>
        <v>175.6070764300101</v>
      </c>
      <c r="F148" s="6">
        <f>B148+E148</f>
        <v>1963364.3366490062</v>
      </c>
      <c r="G148" s="13">
        <f t="shared" si="19"/>
        <v>1963364.3366490062</v>
      </c>
      <c r="I148" s="37">
        <f t="shared" si="25"/>
        <v>23364.336649006997</v>
      </c>
      <c r="J148" s="37">
        <f t="shared" si="26"/>
        <v>55956.16438356154</v>
      </c>
      <c r="K148" s="36">
        <f t="shared" si="20"/>
        <v>98.168216832450312</v>
      </c>
      <c r="L148" s="36">
        <f t="shared" si="21"/>
        <v>100.96602505162839</v>
      </c>
      <c r="M148" s="35">
        <f t="shared" si="22"/>
        <v>1963364.3366490062</v>
      </c>
      <c r="N148" s="35">
        <f t="shared" si="23"/>
        <v>2019320.5010325678</v>
      </c>
    </row>
    <row r="149" spans="1:14" x14ac:dyDescent="0.15">
      <c r="A149" s="3">
        <f t="shared" si="24"/>
        <v>42880</v>
      </c>
      <c r="B149" s="6">
        <f>F148</f>
        <v>1963364.3366490062</v>
      </c>
      <c r="C149">
        <f t="shared" si="18"/>
        <v>252.05479452054792</v>
      </c>
      <c r="D149" s="6">
        <f>B149*$B$8</f>
        <v>427.70012527105553</v>
      </c>
      <c r="E149" s="6">
        <f>D149-C149</f>
        <v>175.64533075050761</v>
      </c>
      <c r="F149" s="6">
        <f>B149+E149</f>
        <v>1963539.9819797568</v>
      </c>
      <c r="G149" s="13">
        <f t="shared" si="19"/>
        <v>1963539.9819797566</v>
      </c>
      <c r="I149" s="37">
        <f t="shared" si="25"/>
        <v>23539.981979757504</v>
      </c>
      <c r="J149" s="37">
        <f t="shared" si="26"/>
        <v>56208.219178082087</v>
      </c>
      <c r="K149" s="36">
        <f t="shared" si="20"/>
        <v>98.176999098987821</v>
      </c>
      <c r="L149" s="36">
        <f t="shared" si="21"/>
        <v>100.98741005789192</v>
      </c>
      <c r="M149" s="35">
        <f t="shared" si="22"/>
        <v>1963539.9819797564</v>
      </c>
      <c r="N149" s="35">
        <f t="shared" si="23"/>
        <v>2019748.2011578383</v>
      </c>
    </row>
    <row r="150" spans="1:14" x14ac:dyDescent="0.15">
      <c r="A150" s="3">
        <f t="shared" si="24"/>
        <v>42881</v>
      </c>
      <c r="B150" s="6">
        <f>F149</f>
        <v>1963539.9819797568</v>
      </c>
      <c r="C150">
        <f t="shared" si="18"/>
        <v>252.05479452054792</v>
      </c>
      <c r="D150" s="6">
        <f>B150*$B$8</f>
        <v>427.73838792489056</v>
      </c>
      <c r="E150" s="6">
        <f>D150-C150</f>
        <v>175.68359340434264</v>
      </c>
      <c r="F150" s="6">
        <f>B150+E150</f>
        <v>1963715.6655731611</v>
      </c>
      <c r="G150" s="13">
        <f t="shared" si="19"/>
        <v>1963715.6655731611</v>
      </c>
      <c r="I150" s="37">
        <f t="shared" si="25"/>
        <v>23715.665573161845</v>
      </c>
      <c r="J150" s="37">
        <f t="shared" si="26"/>
        <v>56460.273972602634</v>
      </c>
      <c r="K150" s="36">
        <f t="shared" si="20"/>
        <v>98.18578327865805</v>
      </c>
      <c r="L150" s="36">
        <f t="shared" si="21"/>
        <v>101.00879697728818</v>
      </c>
      <c r="M150" s="35">
        <f t="shared" si="22"/>
        <v>1963715.6655731609</v>
      </c>
      <c r="N150" s="35">
        <f t="shared" si="23"/>
        <v>2020175.9395457637</v>
      </c>
    </row>
    <row r="151" spans="1:14" x14ac:dyDescent="0.15">
      <c r="A151" s="3">
        <f t="shared" si="24"/>
        <v>42882</v>
      </c>
      <c r="B151" s="6">
        <f>F150</f>
        <v>1963715.6655731611</v>
      </c>
      <c r="C151">
        <f t="shared" si="18"/>
        <v>252.05479452054792</v>
      </c>
      <c r="D151" s="6">
        <f>B151*$B$8</f>
        <v>427.77665891387846</v>
      </c>
      <c r="E151" s="6">
        <f>D151-C151</f>
        <v>175.72186439333055</v>
      </c>
      <c r="F151" s="6">
        <f>B151+E151</f>
        <v>1963891.3874375545</v>
      </c>
      <c r="G151" s="13">
        <f t="shared" si="19"/>
        <v>1963891.3874375543</v>
      </c>
      <c r="I151" s="37">
        <f t="shared" si="25"/>
        <v>23891.387437555175</v>
      </c>
      <c r="J151" s="37">
        <f t="shared" si="26"/>
        <v>56712.328767123181</v>
      </c>
      <c r="K151" s="36">
        <f t="shared" si="20"/>
        <v>98.194569371877719</v>
      </c>
      <c r="L151" s="36">
        <f t="shared" si="21"/>
        <v>101.03018581023387</v>
      </c>
      <c r="M151" s="35">
        <f t="shared" si="22"/>
        <v>1963891.3874375543</v>
      </c>
      <c r="N151" s="35">
        <f t="shared" si="23"/>
        <v>2020603.7162046775</v>
      </c>
    </row>
    <row r="152" spans="1:14" x14ac:dyDescent="0.15">
      <c r="A152" s="3">
        <f t="shared" si="24"/>
        <v>42883</v>
      </c>
      <c r="B152" s="6">
        <f>F151</f>
        <v>1963891.3874375545</v>
      </c>
      <c r="C152">
        <f t="shared" si="18"/>
        <v>252.05479452054792</v>
      </c>
      <c r="D152" s="6">
        <f>B152*$B$8</f>
        <v>427.81493823983493</v>
      </c>
      <c r="E152" s="6">
        <f>D152-C152</f>
        <v>175.76014371928702</v>
      </c>
      <c r="F152" s="6">
        <f>B152+E152</f>
        <v>1964067.1475812739</v>
      </c>
      <c r="G152" s="13">
        <f t="shared" si="19"/>
        <v>1964067.1475812737</v>
      </c>
      <c r="I152" s="37">
        <f t="shared" si="25"/>
        <v>24067.147581274461</v>
      </c>
      <c r="J152" s="37">
        <f t="shared" si="26"/>
        <v>56964.383561643728</v>
      </c>
      <c r="K152" s="36">
        <f t="shared" si="20"/>
        <v>98.203357379063689</v>
      </c>
      <c r="L152" s="36">
        <f t="shared" si="21"/>
        <v>101.05157655714588</v>
      </c>
      <c r="M152" s="35">
        <f t="shared" si="22"/>
        <v>1964067.1475812739</v>
      </c>
      <c r="N152" s="35">
        <f t="shared" si="23"/>
        <v>2021031.5311429175</v>
      </c>
    </row>
    <row r="153" spans="1:14" x14ac:dyDescent="0.15">
      <c r="A153" s="3">
        <f t="shared" si="24"/>
        <v>42884</v>
      </c>
      <c r="B153" s="6">
        <f>F152</f>
        <v>1964067.1475812739</v>
      </c>
      <c r="C153">
        <f t="shared" si="18"/>
        <v>252.05479452054792</v>
      </c>
      <c r="D153" s="6">
        <f>B153*$B$8</f>
        <v>427.85322590457616</v>
      </c>
      <c r="E153" s="6">
        <f>D153-C153</f>
        <v>175.79843138402825</v>
      </c>
      <c r="F153" s="6">
        <f>B153+E153</f>
        <v>1964242.9460126581</v>
      </c>
      <c r="G153" s="13">
        <f t="shared" si="19"/>
        <v>1964242.9460126578</v>
      </c>
      <c r="I153" s="37">
        <f t="shared" si="25"/>
        <v>24242.946012658489</v>
      </c>
      <c r="J153" s="37">
        <f t="shared" si="26"/>
        <v>57216.438356164275</v>
      </c>
      <c r="K153" s="36">
        <f t="shared" si="20"/>
        <v>98.212147300632893</v>
      </c>
      <c r="L153" s="36">
        <f t="shared" si="21"/>
        <v>101.0729692184411</v>
      </c>
      <c r="M153" s="35">
        <f t="shared" si="22"/>
        <v>1964242.9460126578</v>
      </c>
      <c r="N153" s="35">
        <f t="shared" si="23"/>
        <v>2021459.384368822</v>
      </c>
    </row>
    <row r="154" spans="1:14" x14ac:dyDescent="0.15">
      <c r="A154" s="3">
        <f t="shared" si="24"/>
        <v>42885</v>
      </c>
      <c r="B154" s="6">
        <f>F153</f>
        <v>1964242.9460126581</v>
      </c>
      <c r="C154">
        <f t="shared" si="18"/>
        <v>252.05479452054792</v>
      </c>
      <c r="D154" s="6">
        <f>B154*$B$8</f>
        <v>427.89152190991859</v>
      </c>
      <c r="E154" s="6">
        <f>D154-C154</f>
        <v>175.83672738937068</v>
      </c>
      <c r="F154" s="6">
        <f>B154+E154</f>
        <v>1964418.7827400474</v>
      </c>
      <c r="G154" s="13">
        <f t="shared" si="19"/>
        <v>1964418.7827400474</v>
      </c>
      <c r="I154" s="37">
        <f t="shared" si="25"/>
        <v>24418.78274004786</v>
      </c>
      <c r="J154" s="37">
        <f t="shared" si="26"/>
        <v>57468.493150684822</v>
      </c>
      <c r="K154" s="36">
        <f t="shared" si="20"/>
        <v>98.220939137002375</v>
      </c>
      <c r="L154" s="36">
        <f t="shared" si="21"/>
        <v>101.09436379453662</v>
      </c>
      <c r="M154" s="35">
        <f t="shared" si="22"/>
        <v>1964418.7827400477</v>
      </c>
      <c r="N154" s="35">
        <f t="shared" si="23"/>
        <v>2021887.2758907324</v>
      </c>
    </row>
    <row r="155" spans="1:14" x14ac:dyDescent="0.15">
      <c r="A155" s="3">
        <f t="shared" si="24"/>
        <v>42886</v>
      </c>
      <c r="B155" s="6">
        <f>F154</f>
        <v>1964418.7827400474</v>
      </c>
      <c r="C155">
        <f t="shared" si="18"/>
        <v>252.05479452054792</v>
      </c>
      <c r="D155" s="6">
        <f>B155*$B$8</f>
        <v>427.92982625767911</v>
      </c>
      <c r="E155" s="6">
        <f>D155-C155</f>
        <v>175.8750317371312</v>
      </c>
      <c r="F155" s="6">
        <f>B155+E155</f>
        <v>1964594.6577717846</v>
      </c>
      <c r="G155" s="13">
        <f t="shared" si="19"/>
        <v>1964594.6577717846</v>
      </c>
      <c r="I155" s="37">
        <f t="shared" si="25"/>
        <v>24594.65777178499</v>
      </c>
      <c r="J155" s="37">
        <f t="shared" si="26"/>
        <v>57720.54794520537</v>
      </c>
      <c r="K155" s="36">
        <f t="shared" si="20"/>
        <v>98.229732888589226</v>
      </c>
      <c r="L155" s="36">
        <f t="shared" si="21"/>
        <v>101.11576028584949</v>
      </c>
      <c r="M155" s="35">
        <f t="shared" si="22"/>
        <v>1964594.6577717843</v>
      </c>
      <c r="N155" s="35">
        <f t="shared" si="23"/>
        <v>2022315.2057169899</v>
      </c>
    </row>
    <row r="156" spans="1:14" x14ac:dyDescent="0.15">
      <c r="A156" s="3">
        <f t="shared" si="24"/>
        <v>42887</v>
      </c>
      <c r="B156" s="6">
        <f>F155</f>
        <v>1964594.6577717846</v>
      </c>
      <c r="C156">
        <f t="shared" si="18"/>
        <v>252.05479452054792</v>
      </c>
      <c r="D156" s="6">
        <f>B156*$B$8</f>
        <v>427.96813894967516</v>
      </c>
      <c r="E156" s="6">
        <f>D156-C156</f>
        <v>175.91334442912725</v>
      </c>
      <c r="F156" s="6">
        <f>B156+E156</f>
        <v>1964770.5711162137</v>
      </c>
      <c r="G156" s="13">
        <f t="shared" si="19"/>
        <v>1964770.5711162137</v>
      </c>
      <c r="I156" s="37">
        <f t="shared" si="25"/>
        <v>24770.571116214116</v>
      </c>
      <c r="J156" s="37">
        <f t="shared" si="26"/>
        <v>57972.602739725917</v>
      </c>
      <c r="K156" s="36">
        <f t="shared" si="20"/>
        <v>98.238528555810689</v>
      </c>
      <c r="L156" s="36">
        <f t="shared" si="21"/>
        <v>101.13715869279699</v>
      </c>
      <c r="M156" s="35">
        <f t="shared" si="22"/>
        <v>1964770.5711162137</v>
      </c>
      <c r="N156" s="35">
        <f t="shared" si="23"/>
        <v>2022743.1738559399</v>
      </c>
    </row>
    <row r="157" spans="1:14" x14ac:dyDescent="0.15">
      <c r="A157" s="3">
        <f t="shared" si="24"/>
        <v>42888</v>
      </c>
      <c r="B157" s="6">
        <f>F156</f>
        <v>1964770.5711162137</v>
      </c>
      <c r="C157">
        <f t="shared" si="18"/>
        <v>252.05479452054792</v>
      </c>
      <c r="D157" s="6">
        <f>B157*$B$8</f>
        <v>428.00645998772438</v>
      </c>
      <c r="E157" s="6">
        <f>D157-C157</f>
        <v>175.95166546717647</v>
      </c>
      <c r="F157" s="6">
        <f>B157+E157</f>
        <v>1964946.5227816808</v>
      </c>
      <c r="G157" s="13">
        <f t="shared" si="19"/>
        <v>1964946.5227816808</v>
      </c>
      <c r="I157" s="37">
        <f t="shared" si="25"/>
        <v>24946.522781681291</v>
      </c>
      <c r="J157" s="37">
        <f t="shared" si="26"/>
        <v>58224.657534246464</v>
      </c>
      <c r="K157" s="36">
        <f t="shared" si="20"/>
        <v>98.247326139084038</v>
      </c>
      <c r="L157" s="36">
        <f t="shared" si="21"/>
        <v>101.15855901579636</v>
      </c>
      <c r="M157" s="35">
        <f t="shared" si="22"/>
        <v>1964946.5227816808</v>
      </c>
      <c r="N157" s="35">
        <f t="shared" si="23"/>
        <v>2023171.1803159274</v>
      </c>
    </row>
    <row r="158" spans="1:14" x14ac:dyDescent="0.15">
      <c r="A158" s="3">
        <f t="shared" si="24"/>
        <v>42889</v>
      </c>
      <c r="B158" s="6">
        <f>F157</f>
        <v>1964946.5227816808</v>
      </c>
      <c r="C158">
        <f t="shared" si="18"/>
        <v>252.05479452054792</v>
      </c>
      <c r="D158" s="6">
        <f>B158*$B$8</f>
        <v>428.04478937364485</v>
      </c>
      <c r="E158" s="6">
        <f>D158-C158</f>
        <v>175.98999485309693</v>
      </c>
      <c r="F158" s="6">
        <f>B158+E158</f>
        <v>1965122.5127765338</v>
      </c>
      <c r="G158" s="13">
        <f t="shared" si="19"/>
        <v>1965122.5127765338</v>
      </c>
      <c r="I158" s="37">
        <f t="shared" si="25"/>
        <v>25122.51277653439</v>
      </c>
      <c r="J158" s="37">
        <f t="shared" si="26"/>
        <v>58476.712328767011</v>
      </c>
      <c r="K158" s="36">
        <f t="shared" si="20"/>
        <v>98.256125638826703</v>
      </c>
      <c r="L158" s="36">
        <f t="shared" si="21"/>
        <v>101.17996125526506</v>
      </c>
      <c r="M158" s="35">
        <f t="shared" si="22"/>
        <v>1965122.5127765341</v>
      </c>
      <c r="N158" s="35">
        <f t="shared" si="23"/>
        <v>2023599.2251053012</v>
      </c>
    </row>
    <row r="159" spans="1:14" x14ac:dyDescent="0.15">
      <c r="A159" s="3">
        <f t="shared" si="24"/>
        <v>42890</v>
      </c>
      <c r="B159" s="6">
        <f>F158</f>
        <v>1965122.5127765338</v>
      </c>
      <c r="C159">
        <f t="shared" si="18"/>
        <v>252.05479452054792</v>
      </c>
      <c r="D159" s="6">
        <f>B159*$B$8</f>
        <v>428.08312710925514</v>
      </c>
      <c r="E159" s="6">
        <f>D159-C159</f>
        <v>176.02833258870723</v>
      </c>
      <c r="F159" s="6">
        <f>B159+E159</f>
        <v>1965298.5411091226</v>
      </c>
      <c r="G159" s="13">
        <f t="shared" si="19"/>
        <v>1965298.5411091226</v>
      </c>
      <c r="I159" s="37">
        <f t="shared" si="25"/>
        <v>25298.541109123096</v>
      </c>
      <c r="J159" s="37">
        <f t="shared" si="26"/>
        <v>58728.767123287558</v>
      </c>
      <c r="K159" s="36">
        <f t="shared" si="20"/>
        <v>98.264927055456127</v>
      </c>
      <c r="L159" s="36">
        <f t="shared" si="21"/>
        <v>101.2013654116205</v>
      </c>
      <c r="M159" s="35">
        <f t="shared" si="22"/>
        <v>1965298.5411091226</v>
      </c>
      <c r="N159" s="35">
        <f t="shared" si="23"/>
        <v>2024027.3082324099</v>
      </c>
    </row>
    <row r="160" spans="1:14" x14ac:dyDescent="0.15">
      <c r="A160" s="3">
        <f t="shared" si="24"/>
        <v>42891</v>
      </c>
      <c r="B160" s="6">
        <f>F159</f>
        <v>1965298.5411091226</v>
      </c>
      <c r="C160">
        <f t="shared" si="18"/>
        <v>252.05479452054792</v>
      </c>
      <c r="D160" s="6">
        <f>B160*$B$8</f>
        <v>428.1214731963741</v>
      </c>
      <c r="E160" s="6">
        <f>D160-C160</f>
        <v>176.06667867582618</v>
      </c>
      <c r="F160" s="6">
        <f>B160+E160</f>
        <v>1965474.6077877984</v>
      </c>
      <c r="G160" s="13">
        <f t="shared" si="19"/>
        <v>1965474.6077877984</v>
      </c>
      <c r="I160" s="37">
        <f t="shared" si="25"/>
        <v>25474.607787798923</v>
      </c>
      <c r="J160" s="37">
        <f t="shared" si="26"/>
        <v>58980.821917808105</v>
      </c>
      <c r="K160" s="36">
        <f t="shared" si="20"/>
        <v>98.273730389389925</v>
      </c>
      <c r="L160" s="36">
        <f t="shared" si="21"/>
        <v>101.22277148528033</v>
      </c>
      <c r="M160" s="35">
        <f t="shared" si="22"/>
        <v>1965474.6077877986</v>
      </c>
      <c r="N160" s="35">
        <f t="shared" si="23"/>
        <v>2024455.4297056068</v>
      </c>
    </row>
    <row r="161" spans="1:14" x14ac:dyDescent="0.15">
      <c r="A161" s="3">
        <f t="shared" si="24"/>
        <v>42892</v>
      </c>
      <c r="B161" s="6">
        <f>F160</f>
        <v>1965474.6077877984</v>
      </c>
      <c r="C161">
        <f t="shared" si="18"/>
        <v>252.05479452054792</v>
      </c>
      <c r="D161" s="6">
        <f>B161*$B$8</f>
        <v>428.15982763682109</v>
      </c>
      <c r="E161" s="6">
        <f>D161-C161</f>
        <v>176.10503311627318</v>
      </c>
      <c r="F161" s="6">
        <f>B161+E161</f>
        <v>1965650.7128209146</v>
      </c>
      <c r="G161" s="13">
        <f t="shared" si="19"/>
        <v>1965650.7128209146</v>
      </c>
      <c r="I161" s="37">
        <f t="shared" si="25"/>
        <v>25650.712820915196</v>
      </c>
      <c r="J161" s="37">
        <f t="shared" si="26"/>
        <v>59232.876712328653</v>
      </c>
      <c r="K161" s="36">
        <f t="shared" si="20"/>
        <v>98.282535641045726</v>
      </c>
      <c r="L161" s="36">
        <f t="shared" si="21"/>
        <v>101.24417947666215</v>
      </c>
      <c r="M161" s="35">
        <f t="shared" si="22"/>
        <v>1965650.7128209143</v>
      </c>
      <c r="N161" s="35">
        <f t="shared" si="23"/>
        <v>2024883.5895332431</v>
      </c>
    </row>
    <row r="162" spans="1:14" x14ac:dyDescent="0.15">
      <c r="A162" s="3">
        <f t="shared" si="24"/>
        <v>42893</v>
      </c>
      <c r="B162" s="6">
        <f>F161</f>
        <v>1965650.7128209146</v>
      </c>
      <c r="C162">
        <f t="shared" si="18"/>
        <v>252.05479452054792</v>
      </c>
      <c r="D162" s="6">
        <f>B162*$B$8</f>
        <v>428.19819043241574</v>
      </c>
      <c r="E162" s="6">
        <f>D162-C162</f>
        <v>176.14339591186783</v>
      </c>
      <c r="F162" s="6">
        <f>B162+E162</f>
        <v>1965826.8562168265</v>
      </c>
      <c r="G162" s="13">
        <f t="shared" si="19"/>
        <v>1965826.8562168265</v>
      </c>
      <c r="I162" s="37">
        <f t="shared" si="25"/>
        <v>25826.856216827066</v>
      </c>
      <c r="J162" s="37">
        <f t="shared" si="26"/>
        <v>59484.9315068492</v>
      </c>
      <c r="K162" s="36">
        <f t="shared" si="20"/>
        <v>98.291342810841314</v>
      </c>
      <c r="L162" s="36">
        <f t="shared" si="21"/>
        <v>101.26558938618378</v>
      </c>
      <c r="M162" s="35">
        <f t="shared" si="22"/>
        <v>1965826.8562168262</v>
      </c>
      <c r="N162" s="35">
        <f t="shared" si="23"/>
        <v>2025311.7877236756</v>
      </c>
    </row>
    <row r="163" spans="1:14" x14ac:dyDescent="0.15">
      <c r="A163" s="3">
        <f t="shared" si="24"/>
        <v>42894</v>
      </c>
      <c r="B163" s="6">
        <f>F162</f>
        <v>1965826.8562168265</v>
      </c>
      <c r="C163">
        <f t="shared" si="18"/>
        <v>252.05479452054792</v>
      </c>
      <c r="D163" s="6">
        <f>B163*$B$8</f>
        <v>428.23656158497818</v>
      </c>
      <c r="E163" s="6">
        <f>D163-C163</f>
        <v>176.18176706443026</v>
      </c>
      <c r="F163" s="6">
        <f>B163+E163</f>
        <v>1966003.0379838909</v>
      </c>
      <c r="G163" s="13">
        <f t="shared" si="19"/>
        <v>1966003.0379838909</v>
      </c>
      <c r="I163" s="37">
        <f t="shared" si="25"/>
        <v>26003.037983891496</v>
      </c>
      <c r="J163" s="37">
        <f t="shared" si="26"/>
        <v>59736.986301369747</v>
      </c>
      <c r="K163" s="36">
        <f t="shared" si="20"/>
        <v>98.300151899194546</v>
      </c>
      <c r="L163" s="36">
        <f t="shared" si="21"/>
        <v>101.28700121426303</v>
      </c>
      <c r="M163" s="35">
        <f t="shared" si="22"/>
        <v>1966003.0379838909</v>
      </c>
      <c r="N163" s="35">
        <f t="shared" si="23"/>
        <v>2025740.0242852604</v>
      </c>
    </row>
    <row r="164" spans="1:14" x14ac:dyDescent="0.15">
      <c r="A164" s="3">
        <f t="shared" si="24"/>
        <v>42895</v>
      </c>
      <c r="B164" s="6">
        <f>F163</f>
        <v>1966003.0379838909</v>
      </c>
      <c r="C164">
        <f t="shared" si="18"/>
        <v>252.05479452054792</v>
      </c>
      <c r="D164" s="6">
        <f>B164*$B$8</f>
        <v>428.2749410963288</v>
      </c>
      <c r="E164" s="6">
        <f>D164-C164</f>
        <v>176.22014657578089</v>
      </c>
      <c r="F164" s="6">
        <f>B164+E164</f>
        <v>1966179.2581304666</v>
      </c>
      <c r="G164" s="13">
        <f t="shared" si="19"/>
        <v>1966179.2581304666</v>
      </c>
      <c r="I164" s="37">
        <f t="shared" si="25"/>
        <v>26179.258130467279</v>
      </c>
      <c r="J164" s="37">
        <f t="shared" si="26"/>
        <v>59989.041095890294</v>
      </c>
      <c r="K164" s="36">
        <f t="shared" si="20"/>
        <v>98.30896290652332</v>
      </c>
      <c r="L164" s="36">
        <f t="shared" si="21"/>
        <v>101.30841496131784</v>
      </c>
      <c r="M164" s="35">
        <f t="shared" si="22"/>
        <v>1966179.2581304663</v>
      </c>
      <c r="N164" s="35">
        <f t="shared" si="23"/>
        <v>2026168.2992263567</v>
      </c>
    </row>
    <row r="165" spans="1:14" x14ac:dyDescent="0.15">
      <c r="A165" s="3">
        <f t="shared" si="24"/>
        <v>42896</v>
      </c>
      <c r="B165" s="6">
        <f>F164</f>
        <v>1966179.2581304666</v>
      </c>
      <c r="C165">
        <f t="shared" si="18"/>
        <v>252.05479452054792</v>
      </c>
      <c r="D165" s="6">
        <f>B165*$B$8</f>
        <v>428.3133289682886</v>
      </c>
      <c r="E165" s="6">
        <f>D165-C165</f>
        <v>176.25853444774069</v>
      </c>
      <c r="F165" s="6">
        <f>B165+E165</f>
        <v>1966355.5166649143</v>
      </c>
      <c r="G165" s="13">
        <f t="shared" si="19"/>
        <v>1966355.5166649143</v>
      </c>
      <c r="I165" s="37">
        <f t="shared" si="25"/>
        <v>26355.51666491502</v>
      </c>
      <c r="J165" s="37">
        <f t="shared" si="26"/>
        <v>60241.095890410841</v>
      </c>
      <c r="K165" s="36">
        <f t="shared" si="20"/>
        <v>98.317775833245719</v>
      </c>
      <c r="L165" s="36">
        <f t="shared" si="21"/>
        <v>101.32983062776626</v>
      </c>
      <c r="M165" s="35">
        <f t="shared" si="22"/>
        <v>1966355.5166649146</v>
      </c>
      <c r="N165" s="35">
        <f t="shared" si="23"/>
        <v>2026596.612555325</v>
      </c>
    </row>
    <row r="166" spans="1:14" x14ac:dyDescent="0.15">
      <c r="A166" s="3">
        <f t="shared" si="24"/>
        <v>42897</v>
      </c>
      <c r="B166" s="6">
        <f>F165</f>
        <v>1966355.5166649143</v>
      </c>
      <c r="C166">
        <f t="shared" si="18"/>
        <v>252.05479452054792</v>
      </c>
      <c r="D166" s="6">
        <f>B166*$B$8</f>
        <v>428.35172520267884</v>
      </c>
      <c r="E166" s="6">
        <f>D166-C166</f>
        <v>176.29693068213092</v>
      </c>
      <c r="F166" s="6">
        <f>B166+E166</f>
        <v>1966531.8135955965</v>
      </c>
      <c r="G166" s="13">
        <f t="shared" si="19"/>
        <v>1966531.8135955965</v>
      </c>
      <c r="I166" s="37">
        <f t="shared" si="25"/>
        <v>26531.813595597152</v>
      </c>
      <c r="J166" s="37">
        <f t="shared" si="26"/>
        <v>60493.150684931388</v>
      </c>
      <c r="K166" s="36">
        <f t="shared" si="20"/>
        <v>98.326590679779827</v>
      </c>
      <c r="L166" s="36">
        <f t="shared" si="21"/>
        <v>101.3512482140264</v>
      </c>
      <c r="M166" s="35">
        <f t="shared" si="22"/>
        <v>1966531.8135955965</v>
      </c>
      <c r="N166" s="35">
        <f t="shared" si="23"/>
        <v>2027024.9642805278</v>
      </c>
    </row>
    <row r="167" spans="1:14" x14ac:dyDescent="0.15">
      <c r="A167" s="3">
        <f t="shared" si="24"/>
        <v>42898</v>
      </c>
      <c r="B167" s="6">
        <f>F166</f>
        <v>1966531.8135955965</v>
      </c>
      <c r="C167">
        <f t="shared" si="18"/>
        <v>252.05479452054792</v>
      </c>
      <c r="D167" s="6">
        <f>B167*$B$8</f>
        <v>428.39012980132117</v>
      </c>
      <c r="E167" s="6">
        <f>D167-C167</f>
        <v>176.33533528077325</v>
      </c>
      <c r="F167" s="6">
        <f>B167+E167</f>
        <v>1966708.1489308772</v>
      </c>
      <c r="G167" s="13">
        <f t="shared" si="19"/>
        <v>1966708.1489308772</v>
      </c>
      <c r="I167" s="37">
        <f t="shared" si="25"/>
        <v>26708.148930877924</v>
      </c>
      <c r="J167" s="37">
        <f t="shared" si="26"/>
        <v>60745.205479451935</v>
      </c>
      <c r="K167" s="36">
        <f t="shared" si="20"/>
        <v>98.335407446543869</v>
      </c>
      <c r="L167" s="36">
        <f t="shared" si="21"/>
        <v>101.37266772051646</v>
      </c>
      <c r="M167" s="35">
        <f t="shared" si="22"/>
        <v>1966708.1489308774</v>
      </c>
      <c r="N167" s="35">
        <f t="shared" si="23"/>
        <v>2027453.3544103291</v>
      </c>
    </row>
    <row r="168" spans="1:14" x14ac:dyDescent="0.15">
      <c r="A168" s="3">
        <f t="shared" si="24"/>
        <v>42899</v>
      </c>
      <c r="B168" s="6">
        <f>F167</f>
        <v>1966708.1489308772</v>
      </c>
      <c r="C168">
        <f t="shared" si="18"/>
        <v>252.05479452054792</v>
      </c>
      <c r="D168" s="6">
        <f>B168*$B$8</f>
        <v>428.42854276603765</v>
      </c>
      <c r="E168" s="6">
        <f>D168-C168</f>
        <v>176.37374824548974</v>
      </c>
      <c r="F168" s="6">
        <f>B168+E168</f>
        <v>1966884.5226791226</v>
      </c>
      <c r="G168" s="13">
        <f t="shared" si="19"/>
        <v>1966884.5226791226</v>
      </c>
      <c r="I168" s="37">
        <f t="shared" si="25"/>
        <v>26884.522679123413</v>
      </c>
      <c r="J168" s="37">
        <f t="shared" si="26"/>
        <v>60997.260273972483</v>
      </c>
      <c r="K168" s="36">
        <f t="shared" si="20"/>
        <v>98.344226133956141</v>
      </c>
      <c r="L168" s="36">
        <f t="shared" si="21"/>
        <v>101.39408914765477</v>
      </c>
      <c r="M168" s="35">
        <f t="shared" si="22"/>
        <v>1966884.5226791226</v>
      </c>
      <c r="N168" s="35">
        <f t="shared" si="23"/>
        <v>2027881.7829530954</v>
      </c>
    </row>
    <row r="169" spans="1:14" x14ac:dyDescent="0.15">
      <c r="A169" s="3">
        <f t="shared" si="24"/>
        <v>42900</v>
      </c>
      <c r="B169" s="6">
        <f>F168</f>
        <v>1966884.5226791226</v>
      </c>
      <c r="C169">
        <f t="shared" si="18"/>
        <v>252.05479452054792</v>
      </c>
      <c r="D169" s="6">
        <f>B169*$B$8</f>
        <v>428.46696409865075</v>
      </c>
      <c r="E169" s="6">
        <f>D169-C169</f>
        <v>176.41216957810283</v>
      </c>
      <c r="F169" s="6">
        <f>B169+E169</f>
        <v>1967060.9348487007</v>
      </c>
      <c r="G169" s="13">
        <f t="shared" si="19"/>
        <v>1967060.9348487007</v>
      </c>
      <c r="I169" s="37">
        <f t="shared" si="25"/>
        <v>27060.934848701516</v>
      </c>
      <c r="J169" s="37">
        <f t="shared" si="26"/>
        <v>61249.31506849303</v>
      </c>
      <c r="K169" s="36">
        <f t="shared" si="20"/>
        <v>98.353046742435041</v>
      </c>
      <c r="L169" s="36">
        <f t="shared" si="21"/>
        <v>101.41551249585969</v>
      </c>
      <c r="M169" s="35">
        <f t="shared" si="22"/>
        <v>1967060.9348487007</v>
      </c>
      <c r="N169" s="35">
        <f t="shared" si="23"/>
        <v>2028310.2499171935</v>
      </c>
    </row>
    <row r="170" spans="1:14" x14ac:dyDescent="0.15">
      <c r="A170" s="3">
        <f t="shared" si="24"/>
        <v>42901</v>
      </c>
      <c r="B170" s="6">
        <f>F169</f>
        <v>1967060.9348487007</v>
      </c>
      <c r="C170">
        <f t="shared" si="18"/>
        <v>252.05479452054792</v>
      </c>
      <c r="D170" s="6">
        <f>B170*$B$8</f>
        <v>428.50539380098337</v>
      </c>
      <c r="E170" s="6">
        <f>D170-C170</f>
        <v>176.45059928043545</v>
      </c>
      <c r="F170" s="6">
        <f>B170+E170</f>
        <v>1967237.3854479811</v>
      </c>
      <c r="G170" s="13">
        <f t="shared" si="19"/>
        <v>1967237.3854479811</v>
      </c>
      <c r="I170" s="37">
        <f t="shared" si="25"/>
        <v>27237.385447981953</v>
      </c>
      <c r="J170" s="37">
        <f t="shared" si="26"/>
        <v>61501.369863013577</v>
      </c>
      <c r="K170" s="36">
        <f t="shared" si="20"/>
        <v>98.361869272399048</v>
      </c>
      <c r="L170" s="36">
        <f t="shared" si="21"/>
        <v>101.43693776554973</v>
      </c>
      <c r="M170" s="35">
        <f t="shared" si="22"/>
        <v>1967237.3854479811</v>
      </c>
      <c r="N170" s="35">
        <f t="shared" si="23"/>
        <v>2028738.7553109946</v>
      </c>
    </row>
    <row r="171" spans="1:14" x14ac:dyDescent="0.15">
      <c r="A171" s="3">
        <f t="shared" si="24"/>
        <v>42902</v>
      </c>
      <c r="B171" s="6">
        <f>F170</f>
        <v>1967237.3854479811</v>
      </c>
      <c r="C171">
        <f t="shared" si="18"/>
        <v>252.05479452054792</v>
      </c>
      <c r="D171" s="6">
        <f>B171*$B$8</f>
        <v>428.54383187485871</v>
      </c>
      <c r="E171" s="6">
        <f>D171-C171</f>
        <v>176.4890373543108</v>
      </c>
      <c r="F171" s="6">
        <f>B171+E171</f>
        <v>1967413.8744853353</v>
      </c>
      <c r="G171" s="13">
        <f t="shared" si="19"/>
        <v>1967413.8744853353</v>
      </c>
      <c r="I171" s="37">
        <f t="shared" si="25"/>
        <v>27413.874485336262</v>
      </c>
      <c r="J171" s="37">
        <f t="shared" si="26"/>
        <v>61753.424657534124</v>
      </c>
      <c r="K171" s="36">
        <f t="shared" si="20"/>
        <v>98.370693724266772</v>
      </c>
      <c r="L171" s="36">
        <f t="shared" si="21"/>
        <v>101.45836495714347</v>
      </c>
      <c r="M171" s="35">
        <f t="shared" si="22"/>
        <v>1967413.8744853353</v>
      </c>
      <c r="N171" s="35">
        <f t="shared" si="23"/>
        <v>2029167.2991428694</v>
      </c>
    </row>
    <row r="172" spans="1:14" x14ac:dyDescent="0.15">
      <c r="A172" s="3">
        <f t="shared" si="24"/>
        <v>42903</v>
      </c>
      <c r="B172" s="6">
        <f>F171</f>
        <v>1967413.8744853353</v>
      </c>
      <c r="C172">
        <f t="shared" si="18"/>
        <v>252.05479452054792</v>
      </c>
      <c r="D172" s="6">
        <f>B172*$B$8</f>
        <v>428.58227832210048</v>
      </c>
      <c r="E172" s="6">
        <f>D172-C172</f>
        <v>176.52748380155256</v>
      </c>
      <c r="F172" s="6">
        <f>B172+E172</f>
        <v>1967590.4019691369</v>
      </c>
      <c r="G172" s="13">
        <f t="shared" si="19"/>
        <v>1967590.4019691369</v>
      </c>
      <c r="I172" s="37">
        <f t="shared" si="25"/>
        <v>27590.401969137816</v>
      </c>
      <c r="J172" s="37">
        <f t="shared" si="26"/>
        <v>62005.479452054671</v>
      </c>
      <c r="K172" s="36">
        <f t="shared" si="20"/>
        <v>98.379520098456837</v>
      </c>
      <c r="L172" s="36">
        <f t="shared" si="21"/>
        <v>101.47979407105957</v>
      </c>
      <c r="M172" s="35">
        <f t="shared" si="22"/>
        <v>1967590.4019691367</v>
      </c>
      <c r="N172" s="35">
        <f t="shared" si="23"/>
        <v>2029595.8814211914</v>
      </c>
    </row>
    <row r="173" spans="1:14" x14ac:dyDescent="0.15">
      <c r="A173" s="3">
        <f t="shared" si="24"/>
        <v>42904</v>
      </c>
      <c r="B173" s="6">
        <f>F172</f>
        <v>1967590.4019691369</v>
      </c>
      <c r="C173">
        <f t="shared" si="18"/>
        <v>252.05479452054792</v>
      </c>
      <c r="D173" s="6">
        <f>B173*$B$8</f>
        <v>428.62073314453278</v>
      </c>
      <c r="E173" s="6">
        <f>D173-C173</f>
        <v>176.56593862398486</v>
      </c>
      <c r="F173" s="6">
        <f>B173+E173</f>
        <v>1967766.967907761</v>
      </c>
      <c r="G173" s="13">
        <f t="shared" si="19"/>
        <v>1967766.9679077608</v>
      </c>
      <c r="I173" s="37">
        <f t="shared" si="25"/>
        <v>27766.967907761802</v>
      </c>
      <c r="J173" s="37">
        <f t="shared" si="26"/>
        <v>62257.534246575218</v>
      </c>
      <c r="K173" s="36">
        <f t="shared" si="20"/>
        <v>98.388348395388036</v>
      </c>
      <c r="L173" s="36">
        <f t="shared" si="21"/>
        <v>101.50122510771679</v>
      </c>
      <c r="M173" s="35">
        <f t="shared" si="22"/>
        <v>1967766.9679077608</v>
      </c>
      <c r="N173" s="35">
        <f t="shared" si="23"/>
        <v>2030024.5021543361</v>
      </c>
    </row>
    <row r="174" spans="1:14" x14ac:dyDescent="0.15">
      <c r="A174" s="3">
        <f t="shared" si="24"/>
        <v>42905</v>
      </c>
      <c r="B174" s="6">
        <f>F173</f>
        <v>1967766.967907761</v>
      </c>
      <c r="C174">
        <f t="shared" si="18"/>
        <v>252.05479452054792</v>
      </c>
      <c r="D174" s="6">
        <f>B174*$B$8</f>
        <v>428.65919634398</v>
      </c>
      <c r="E174" s="6">
        <f>D174-C174</f>
        <v>176.60440182343208</v>
      </c>
      <c r="F174" s="6">
        <f>B174+E174</f>
        <v>1967943.5723095844</v>
      </c>
      <c r="G174" s="13">
        <f t="shared" si="19"/>
        <v>1967943.5723095844</v>
      </c>
      <c r="I174" s="37">
        <f t="shared" si="25"/>
        <v>27943.572309585234</v>
      </c>
      <c r="J174" s="37">
        <f t="shared" si="26"/>
        <v>62509.589041095765</v>
      </c>
      <c r="K174" s="36">
        <f t="shared" si="20"/>
        <v>98.39717861547922</v>
      </c>
      <c r="L174" s="36">
        <f t="shared" si="21"/>
        <v>101.52265806753401</v>
      </c>
      <c r="M174" s="35">
        <f t="shared" si="22"/>
        <v>1967943.5723095844</v>
      </c>
      <c r="N174" s="35">
        <f t="shared" si="23"/>
        <v>2030453.1613506803</v>
      </c>
    </row>
    <row r="175" spans="1:14" x14ac:dyDescent="0.15">
      <c r="A175" s="3">
        <f t="shared" si="24"/>
        <v>42906</v>
      </c>
      <c r="B175" s="6">
        <f>F174</f>
        <v>1967943.5723095844</v>
      </c>
      <c r="C175">
        <f t="shared" si="18"/>
        <v>252.05479452054792</v>
      </c>
      <c r="D175" s="6">
        <f>B175*$B$8</f>
        <v>428.69766792226704</v>
      </c>
      <c r="E175" s="6">
        <f>D175-C175</f>
        <v>176.64287340171913</v>
      </c>
      <c r="F175" s="6">
        <f>B175+E175</f>
        <v>1968120.2151829861</v>
      </c>
      <c r="G175" s="13">
        <f t="shared" si="19"/>
        <v>1968120.2151829861</v>
      </c>
      <c r="I175" s="37">
        <f t="shared" si="25"/>
        <v>28120.215182986954</v>
      </c>
      <c r="J175" s="37">
        <f t="shared" si="26"/>
        <v>62761.643835616313</v>
      </c>
      <c r="K175" s="36">
        <f t="shared" si="20"/>
        <v>98.406010759149311</v>
      </c>
      <c r="L175" s="36">
        <f t="shared" si="21"/>
        <v>101.54409295093012</v>
      </c>
      <c r="M175" s="35">
        <f t="shared" si="22"/>
        <v>1968120.2151829863</v>
      </c>
      <c r="N175" s="35">
        <f t="shared" si="23"/>
        <v>2030881.8590186024</v>
      </c>
    </row>
    <row r="176" spans="1:14" x14ac:dyDescent="0.15">
      <c r="A176" s="3">
        <f t="shared" si="24"/>
        <v>42907</v>
      </c>
      <c r="B176" s="6">
        <f>F175</f>
        <v>1968120.2151829861</v>
      </c>
      <c r="C176">
        <f t="shared" si="18"/>
        <v>252.05479452054792</v>
      </c>
      <c r="D176" s="6">
        <f>B176*$B$8</f>
        <v>428.73614788121904</v>
      </c>
      <c r="E176" s="6">
        <f>D176-C176</f>
        <v>176.68135336067112</v>
      </c>
      <c r="F176" s="6">
        <f>B176+E176</f>
        <v>1968296.8965363468</v>
      </c>
      <c r="G176" s="13">
        <f t="shared" si="19"/>
        <v>1968296.8965363468</v>
      </c>
      <c r="I176" s="37">
        <f t="shared" si="25"/>
        <v>28296.896536347627</v>
      </c>
      <c r="J176" s="37">
        <f t="shared" si="26"/>
        <v>63013.69863013686</v>
      </c>
      <c r="K176" s="36">
        <f t="shared" si="20"/>
        <v>98.414844826817344</v>
      </c>
      <c r="L176" s="36">
        <f t="shared" si="21"/>
        <v>101.56552975832419</v>
      </c>
      <c r="M176" s="35">
        <f t="shared" si="22"/>
        <v>1968296.896536347</v>
      </c>
      <c r="N176" s="35">
        <f t="shared" si="23"/>
        <v>2031310.5951664839</v>
      </c>
    </row>
    <row r="177" spans="1:14" x14ac:dyDescent="0.15">
      <c r="A177" s="3">
        <f t="shared" si="24"/>
        <v>42908</v>
      </c>
      <c r="B177" s="6">
        <f>F176</f>
        <v>1968296.8965363468</v>
      </c>
      <c r="C177">
        <f t="shared" si="18"/>
        <v>252.05479452054792</v>
      </c>
      <c r="D177" s="6">
        <f>B177*$B$8</f>
        <v>428.7746362226618</v>
      </c>
      <c r="E177" s="6">
        <f>D177-C177</f>
        <v>176.71984170211388</v>
      </c>
      <c r="F177" s="6">
        <f>B177+E177</f>
        <v>1968473.6163780489</v>
      </c>
      <c r="G177" s="13">
        <f t="shared" si="19"/>
        <v>1968473.6163780489</v>
      </c>
      <c r="I177" s="37">
        <f t="shared" si="25"/>
        <v>28473.616378049741</v>
      </c>
      <c r="J177" s="37">
        <f t="shared" si="26"/>
        <v>63265.753424657407</v>
      </c>
      <c r="K177" s="36">
        <f t="shared" si="20"/>
        <v>98.423680818902454</v>
      </c>
      <c r="L177" s="36">
        <f t="shared" si="21"/>
        <v>101.58696849013532</v>
      </c>
      <c r="M177" s="35">
        <f t="shared" si="22"/>
        <v>1968473.6163780489</v>
      </c>
      <c r="N177" s="35">
        <f t="shared" si="23"/>
        <v>2031739.3698027066</v>
      </c>
    </row>
    <row r="178" spans="1:14" x14ac:dyDescent="0.15">
      <c r="A178" s="3">
        <f t="shared" si="24"/>
        <v>42909</v>
      </c>
      <c r="B178" s="6">
        <f>F177</f>
        <v>1968473.6163780489</v>
      </c>
      <c r="C178">
        <f t="shared" si="18"/>
        <v>252.05479452054792</v>
      </c>
      <c r="D178" s="6">
        <f>B178*$B$8</f>
        <v>428.81313294842124</v>
      </c>
      <c r="E178" s="6">
        <f>D178-C178</f>
        <v>176.75833842787333</v>
      </c>
      <c r="F178" s="6">
        <f>B178+E178</f>
        <v>1968650.3747164768</v>
      </c>
      <c r="G178" s="13">
        <f t="shared" si="19"/>
        <v>1968650.3747164768</v>
      </c>
      <c r="I178" s="37">
        <f t="shared" si="25"/>
        <v>28650.374716477614</v>
      </c>
      <c r="J178" s="37">
        <f t="shared" si="26"/>
        <v>63517.808219177954</v>
      </c>
      <c r="K178" s="36">
        <f t="shared" si="20"/>
        <v>98.432518735823834</v>
      </c>
      <c r="L178" s="36">
        <f t="shared" si="21"/>
        <v>101.60840914678273</v>
      </c>
      <c r="M178" s="35">
        <f t="shared" si="22"/>
        <v>1968650.3747164768</v>
      </c>
      <c r="N178" s="35">
        <f t="shared" si="23"/>
        <v>2032168.1829356544</v>
      </c>
    </row>
    <row r="179" spans="1:14" x14ac:dyDescent="0.15">
      <c r="A179" s="3">
        <f t="shared" si="24"/>
        <v>42910</v>
      </c>
      <c r="B179" s="6">
        <f>F178</f>
        <v>1968650.3747164768</v>
      </c>
      <c r="C179">
        <f t="shared" si="18"/>
        <v>252.05479452054792</v>
      </c>
      <c r="D179" s="6">
        <f>B179*$B$8</f>
        <v>428.85163806032386</v>
      </c>
      <c r="E179" s="6">
        <f>D179-C179</f>
        <v>176.79684353977595</v>
      </c>
      <c r="F179" s="6">
        <f>B179+E179</f>
        <v>1968827.1715600165</v>
      </c>
      <c r="G179" s="13">
        <f t="shared" si="19"/>
        <v>1968827.1715600165</v>
      </c>
      <c r="I179" s="37">
        <f t="shared" si="25"/>
        <v>28827.171560017388</v>
      </c>
      <c r="J179" s="37">
        <f t="shared" si="26"/>
        <v>63769.863013698501</v>
      </c>
      <c r="K179" s="36">
        <f t="shared" si="20"/>
        <v>98.44135857800083</v>
      </c>
      <c r="L179" s="36">
        <f t="shared" si="21"/>
        <v>101.62985172868575</v>
      </c>
      <c r="M179" s="35">
        <f t="shared" si="22"/>
        <v>1968827.1715600165</v>
      </c>
      <c r="N179" s="35">
        <f t="shared" si="23"/>
        <v>2032597.0345737149</v>
      </c>
    </row>
    <row r="180" spans="1:14" x14ac:dyDescent="0.15">
      <c r="A180" s="3">
        <f t="shared" si="24"/>
        <v>42911</v>
      </c>
      <c r="B180" s="6">
        <f>F179</f>
        <v>1968827.1715600165</v>
      </c>
      <c r="C180">
        <f t="shared" si="18"/>
        <v>252.05479452054792</v>
      </c>
      <c r="D180" s="6">
        <f>B180*$B$8</f>
        <v>428.8901515601965</v>
      </c>
      <c r="E180" s="6">
        <f>D180-C180</f>
        <v>176.83535703964858</v>
      </c>
      <c r="F180" s="6">
        <f>B180+E180</f>
        <v>1969004.0069170562</v>
      </c>
      <c r="G180" s="13">
        <f t="shared" si="19"/>
        <v>1969004.0069170562</v>
      </c>
      <c r="I180" s="37">
        <f t="shared" si="25"/>
        <v>29004.006917057039</v>
      </c>
      <c r="J180" s="37">
        <f t="shared" si="26"/>
        <v>64021.917808219048</v>
      </c>
      <c r="K180" s="36">
        <f t="shared" si="20"/>
        <v>98.450200345852807</v>
      </c>
      <c r="L180" s="36">
        <f t="shared" si="21"/>
        <v>101.65129623626376</v>
      </c>
      <c r="M180" s="35">
        <f t="shared" si="22"/>
        <v>1969004.0069170562</v>
      </c>
      <c r="N180" s="35">
        <f t="shared" si="23"/>
        <v>2033025.9247252753</v>
      </c>
    </row>
    <row r="181" spans="1:14" x14ac:dyDescent="0.15">
      <c r="A181" s="3">
        <f t="shared" si="24"/>
        <v>42912</v>
      </c>
      <c r="B181" s="6">
        <f>F180</f>
        <v>1969004.0069170562</v>
      </c>
      <c r="C181">
        <f t="shared" si="18"/>
        <v>252.05479452054792</v>
      </c>
      <c r="D181" s="6">
        <f>B181*$B$8</f>
        <v>428.92867344986644</v>
      </c>
      <c r="E181" s="6">
        <f>D181-C181</f>
        <v>176.87387892931852</v>
      </c>
      <c r="F181" s="6">
        <f>B181+E181</f>
        <v>1969180.8807959855</v>
      </c>
      <c r="G181" s="13">
        <f t="shared" si="19"/>
        <v>1969180.8807959855</v>
      </c>
      <c r="I181" s="37">
        <f t="shared" si="25"/>
        <v>29180.880795986359</v>
      </c>
      <c r="J181" s="37">
        <f t="shared" si="26"/>
        <v>64273.972602739595</v>
      </c>
      <c r="K181" s="36">
        <f t="shared" si="20"/>
        <v>98.459044039799267</v>
      </c>
      <c r="L181" s="36">
        <f t="shared" si="21"/>
        <v>101.67274266993624</v>
      </c>
      <c r="M181" s="35">
        <f t="shared" si="22"/>
        <v>1969180.8807959855</v>
      </c>
      <c r="N181" s="35">
        <f t="shared" si="23"/>
        <v>2033454.8533987247</v>
      </c>
    </row>
    <row r="182" spans="1:14" x14ac:dyDescent="0.15">
      <c r="A182" s="3">
        <f t="shared" si="24"/>
        <v>42913</v>
      </c>
      <c r="B182" s="6">
        <f>F181</f>
        <v>1969180.8807959855</v>
      </c>
      <c r="C182">
        <f t="shared" si="18"/>
        <v>252.05479452054792</v>
      </c>
      <c r="D182" s="6">
        <f>B182*$B$8</f>
        <v>428.96720373116119</v>
      </c>
      <c r="E182" s="6">
        <f>D182-C182</f>
        <v>176.91240921061328</v>
      </c>
      <c r="F182" s="6">
        <f>B182+E182</f>
        <v>1969357.793205196</v>
      </c>
      <c r="G182" s="13">
        <f t="shared" si="19"/>
        <v>1969357.793205196</v>
      </c>
      <c r="I182" s="37">
        <f t="shared" si="25"/>
        <v>29357.793205196973</v>
      </c>
      <c r="J182" s="37">
        <f t="shared" si="26"/>
        <v>64526.027397260143</v>
      </c>
      <c r="K182" s="36">
        <f t="shared" si="20"/>
        <v>98.4678896602598</v>
      </c>
      <c r="L182" s="36">
        <f t="shared" si="21"/>
        <v>101.69419103012281</v>
      </c>
      <c r="M182" s="35">
        <f t="shared" si="22"/>
        <v>1969357.793205196</v>
      </c>
      <c r="N182" s="35">
        <f t="shared" si="23"/>
        <v>2033883.8206024563</v>
      </c>
    </row>
    <row r="183" spans="1:14" x14ac:dyDescent="0.15">
      <c r="A183" s="3">
        <f t="shared" si="24"/>
        <v>42914</v>
      </c>
      <c r="B183" s="6">
        <f>F182</f>
        <v>1969357.793205196</v>
      </c>
      <c r="C183">
        <f t="shared" si="18"/>
        <v>252.05479452054792</v>
      </c>
      <c r="D183" s="6">
        <f>B183*$B$8</f>
        <v>429.0057424059089</v>
      </c>
      <c r="E183" s="6">
        <f>D183-C183</f>
        <v>176.95094788536099</v>
      </c>
      <c r="F183" s="6">
        <f>B183+E183</f>
        <v>1969534.7441530814</v>
      </c>
      <c r="G183" s="13">
        <f t="shared" si="19"/>
        <v>1969534.7441530814</v>
      </c>
      <c r="I183" s="37">
        <f t="shared" si="25"/>
        <v>29534.744153082334</v>
      </c>
      <c r="J183" s="37">
        <f t="shared" si="26"/>
        <v>64778.08219178069</v>
      </c>
      <c r="K183" s="36">
        <f t="shared" si="20"/>
        <v>98.476737207654068</v>
      </c>
      <c r="L183" s="36">
        <f t="shared" si="21"/>
        <v>101.7156413172431</v>
      </c>
      <c r="M183" s="35">
        <f t="shared" si="22"/>
        <v>1969534.7441530814</v>
      </c>
      <c r="N183" s="35">
        <f t="shared" si="23"/>
        <v>2034312.8263448619</v>
      </c>
    </row>
    <row r="184" spans="1:14" x14ac:dyDescent="0.15">
      <c r="A184" s="3">
        <f t="shared" si="24"/>
        <v>42915</v>
      </c>
      <c r="B184" s="6">
        <f>F183</f>
        <v>1969534.7441530814</v>
      </c>
      <c r="C184">
        <f t="shared" si="18"/>
        <v>252.05479452054792</v>
      </c>
      <c r="D184" s="6">
        <f>B184*$B$8</f>
        <v>429.044289475938</v>
      </c>
      <c r="E184" s="6">
        <f>D184-C184</f>
        <v>176.98949495539009</v>
      </c>
      <c r="F184" s="6">
        <f>B184+E184</f>
        <v>1969711.7336480368</v>
      </c>
      <c r="G184" s="13">
        <f t="shared" si="19"/>
        <v>1969711.7336480368</v>
      </c>
      <c r="I184" s="37">
        <f t="shared" si="25"/>
        <v>29711.733648037723</v>
      </c>
      <c r="J184" s="37">
        <f t="shared" si="26"/>
        <v>65030.136986301237</v>
      </c>
      <c r="K184" s="36">
        <f t="shared" si="20"/>
        <v>98.485586682401845</v>
      </c>
      <c r="L184" s="36">
        <f t="shared" si="21"/>
        <v>101.73709353171691</v>
      </c>
      <c r="M184" s="35">
        <f t="shared" si="22"/>
        <v>1969711.7336480371</v>
      </c>
      <c r="N184" s="35">
        <f t="shared" si="23"/>
        <v>2034741.8706343384</v>
      </c>
    </row>
    <row r="185" spans="1:14" x14ac:dyDescent="0.15">
      <c r="A185" s="3">
        <f t="shared" si="24"/>
        <v>42916</v>
      </c>
      <c r="B185" s="6">
        <f>F184</f>
        <v>1969711.7336480368</v>
      </c>
      <c r="C185">
        <f t="shared" si="18"/>
        <v>252.05479452054792</v>
      </c>
      <c r="D185" s="6">
        <f>B185*$B$8</f>
        <v>429.08284494307725</v>
      </c>
      <c r="E185" s="6">
        <f>D185-C185</f>
        <v>177.02805042252933</v>
      </c>
      <c r="F185" s="6">
        <f>B185+E185</f>
        <v>1969888.7616984593</v>
      </c>
      <c r="G185" s="13">
        <f t="shared" si="19"/>
        <v>1969888.7616984593</v>
      </c>
      <c r="I185" s="37">
        <f t="shared" si="25"/>
        <v>29888.761698460254</v>
      </c>
      <c r="J185" s="37">
        <f t="shared" si="26"/>
        <v>65282.191780821784</v>
      </c>
      <c r="K185" s="36">
        <f t="shared" si="20"/>
        <v>98.494438084922962</v>
      </c>
      <c r="L185" s="36">
        <f t="shared" si="21"/>
        <v>101.75854767396405</v>
      </c>
      <c r="M185" s="35">
        <f t="shared" si="22"/>
        <v>1969888.761698459</v>
      </c>
      <c r="N185" s="35">
        <f t="shared" si="23"/>
        <v>2035170.9534792807</v>
      </c>
    </row>
    <row r="186" spans="1:14" x14ac:dyDescent="0.15">
      <c r="A186" s="3">
        <f t="shared" si="24"/>
        <v>42917</v>
      </c>
      <c r="B186" s="6">
        <f>F185</f>
        <v>1969888.7616984593</v>
      </c>
      <c r="C186">
        <f t="shared" si="18"/>
        <v>252.05479452054792</v>
      </c>
      <c r="D186" s="6">
        <f>B186*$B$8</f>
        <v>429.12140880915592</v>
      </c>
      <c r="E186" s="6">
        <f>D186-C186</f>
        <v>177.06661428860801</v>
      </c>
      <c r="F186" s="6">
        <f>B186+E186</f>
        <v>1970065.8283127479</v>
      </c>
      <c r="G186" s="13">
        <f t="shared" si="19"/>
        <v>1970065.8283127479</v>
      </c>
      <c r="I186" s="37">
        <f t="shared" si="25"/>
        <v>30065.828312748861</v>
      </c>
      <c r="J186" s="37">
        <f t="shared" si="26"/>
        <v>65534.246575342331</v>
      </c>
      <c r="K186" s="36">
        <f t="shared" si="20"/>
        <v>98.503291415637392</v>
      </c>
      <c r="L186" s="36">
        <f t="shared" si="21"/>
        <v>101.78000374440451</v>
      </c>
      <c r="M186" s="35">
        <f t="shared" si="22"/>
        <v>1970065.8283127479</v>
      </c>
      <c r="N186" s="35">
        <f t="shared" si="23"/>
        <v>2035600.0748880901</v>
      </c>
    </row>
    <row r="187" spans="1:14" x14ac:dyDescent="0.15">
      <c r="A187" s="3">
        <f t="shared" si="24"/>
        <v>42918</v>
      </c>
      <c r="B187" s="6">
        <f>F186</f>
        <v>1970065.8283127479</v>
      </c>
      <c r="C187">
        <f t="shared" si="18"/>
        <v>252.05479452054792</v>
      </c>
      <c r="D187" s="6">
        <f>B187*$B$8</f>
        <v>429.1599810760037</v>
      </c>
      <c r="E187" s="6">
        <f>D187-C187</f>
        <v>177.10518655545579</v>
      </c>
      <c r="F187" s="6">
        <f>B187+E187</f>
        <v>1970242.9334993034</v>
      </c>
      <c r="G187" s="13">
        <f t="shared" si="19"/>
        <v>1970242.9334993032</v>
      </c>
      <c r="I187" s="37">
        <f t="shared" si="25"/>
        <v>30242.933499304316</v>
      </c>
      <c r="J187" s="37">
        <f t="shared" si="26"/>
        <v>65786.301369862878</v>
      </c>
      <c r="K187" s="36">
        <f t="shared" si="20"/>
        <v>98.512146674965166</v>
      </c>
      <c r="L187" s="36">
        <f t="shared" si="21"/>
        <v>101.8014617434583</v>
      </c>
      <c r="M187" s="35">
        <f t="shared" si="22"/>
        <v>1970242.9334993034</v>
      </c>
      <c r="N187" s="35">
        <f t="shared" si="23"/>
        <v>2036029.234869166</v>
      </c>
    </row>
    <row r="188" spans="1:14" x14ac:dyDescent="0.15">
      <c r="A188" s="3">
        <f t="shared" si="24"/>
        <v>42919</v>
      </c>
      <c r="B188" s="6">
        <f>F187</f>
        <v>1970242.9334993034</v>
      </c>
      <c r="C188">
        <f t="shared" si="18"/>
        <v>252.05479452054792</v>
      </c>
      <c r="D188" s="6">
        <f>B188*$B$8</f>
        <v>429.19856174545049</v>
      </c>
      <c r="E188" s="6">
        <f>D188-C188</f>
        <v>177.14376722490258</v>
      </c>
      <c r="F188" s="6">
        <f>B188+E188</f>
        <v>1970420.0772665283</v>
      </c>
      <c r="G188" s="13">
        <f t="shared" si="19"/>
        <v>1970420.0772665283</v>
      </c>
      <c r="I188" s="37">
        <f t="shared" si="25"/>
        <v>30420.077266529217</v>
      </c>
      <c r="J188" s="37">
        <f t="shared" si="26"/>
        <v>66038.356164383425</v>
      </c>
      <c r="K188" s="36">
        <f t="shared" si="20"/>
        <v>98.521003863326413</v>
      </c>
      <c r="L188" s="36">
        <f t="shared" si="21"/>
        <v>101.82292167154559</v>
      </c>
      <c r="M188" s="35">
        <f t="shared" si="22"/>
        <v>1970420.0772665283</v>
      </c>
      <c r="N188" s="35">
        <f t="shared" si="23"/>
        <v>2036458.4334309115</v>
      </c>
    </row>
    <row r="189" spans="1:14" x14ac:dyDescent="0.15">
      <c r="A189" s="3">
        <f t="shared" si="24"/>
        <v>42920</v>
      </c>
      <c r="B189" s="6">
        <f>F188</f>
        <v>1970420.0772665283</v>
      </c>
      <c r="C189">
        <f t="shared" si="18"/>
        <v>252.05479452054792</v>
      </c>
      <c r="D189" s="6">
        <f>B189*$B$8</f>
        <v>429.23715081932681</v>
      </c>
      <c r="E189" s="6">
        <f>D189-C189</f>
        <v>177.1823562987789</v>
      </c>
      <c r="F189" s="6">
        <f>B189+E189</f>
        <v>1970597.2596228269</v>
      </c>
      <c r="G189" s="13">
        <f t="shared" si="19"/>
        <v>1970597.2596228269</v>
      </c>
      <c r="I189" s="37">
        <f t="shared" si="25"/>
        <v>30597.259622827994</v>
      </c>
      <c r="J189" s="37">
        <f t="shared" si="26"/>
        <v>66290.410958903973</v>
      </c>
      <c r="K189" s="36">
        <f t="shared" si="20"/>
        <v>98.529862981141349</v>
      </c>
      <c r="L189" s="36">
        <f t="shared" si="21"/>
        <v>101.84438352908654</v>
      </c>
      <c r="M189" s="35">
        <f t="shared" si="22"/>
        <v>1970597.2596228269</v>
      </c>
      <c r="N189" s="35">
        <f t="shared" si="23"/>
        <v>2036887.670581731</v>
      </c>
    </row>
    <row r="190" spans="1:14" x14ac:dyDescent="0.15">
      <c r="A190" s="3">
        <f t="shared" si="24"/>
        <v>42921</v>
      </c>
      <c r="B190" s="6">
        <f>F189</f>
        <v>1970597.2596228269</v>
      </c>
      <c r="C190">
        <f t="shared" si="18"/>
        <v>252.05479452054792</v>
      </c>
      <c r="D190" s="6">
        <f>B190*$B$8</f>
        <v>429.27574829946343</v>
      </c>
      <c r="E190" s="6">
        <f>D190-C190</f>
        <v>177.22095377891551</v>
      </c>
      <c r="F190" s="6">
        <f>B190+E190</f>
        <v>1970774.4805766058</v>
      </c>
      <c r="G190" s="13">
        <f t="shared" si="19"/>
        <v>1970774.4805766058</v>
      </c>
      <c r="I190" s="37">
        <f t="shared" si="25"/>
        <v>30774.480576606911</v>
      </c>
      <c r="J190" s="37">
        <f t="shared" si="26"/>
        <v>66542.46575342452</v>
      </c>
      <c r="K190" s="36">
        <f t="shared" si="20"/>
        <v>98.538724028830288</v>
      </c>
      <c r="L190" s="36">
        <f t="shared" si="21"/>
        <v>101.86584731650152</v>
      </c>
      <c r="M190" s="35">
        <f t="shared" si="22"/>
        <v>1970774.4805766058</v>
      </c>
      <c r="N190" s="35">
        <f t="shared" si="23"/>
        <v>2037316.9463300302</v>
      </c>
    </row>
    <row r="191" spans="1:14" x14ac:dyDescent="0.15">
      <c r="A191" s="3">
        <f t="shared" si="24"/>
        <v>42922</v>
      </c>
      <c r="B191" s="6">
        <f>F190</f>
        <v>1970774.4805766058</v>
      </c>
      <c r="C191">
        <f t="shared" si="18"/>
        <v>252.05479452054792</v>
      </c>
      <c r="D191" s="6">
        <f>B191*$B$8</f>
        <v>429.31435418769161</v>
      </c>
      <c r="E191" s="6">
        <f>D191-C191</f>
        <v>177.25955966714369</v>
      </c>
      <c r="F191" s="6">
        <f>B191+E191</f>
        <v>1970951.740136273</v>
      </c>
      <c r="G191" s="13">
        <f t="shared" si="19"/>
        <v>1970951.7401362727</v>
      </c>
      <c r="I191" s="37">
        <f t="shared" si="25"/>
        <v>30951.740136274057</v>
      </c>
      <c r="J191" s="37">
        <f t="shared" si="26"/>
        <v>66794.520547945067</v>
      </c>
      <c r="K191" s="36">
        <f t="shared" si="20"/>
        <v>98.547587006813643</v>
      </c>
      <c r="L191" s="36">
        <f t="shared" si="21"/>
        <v>101.88731303421089</v>
      </c>
      <c r="M191" s="35">
        <f t="shared" si="22"/>
        <v>1970951.740136273</v>
      </c>
      <c r="N191" s="35">
        <f t="shared" si="23"/>
        <v>2037746.2606842178</v>
      </c>
    </row>
    <row r="192" spans="1:14" x14ac:dyDescent="0.15">
      <c r="A192" s="3">
        <f t="shared" si="24"/>
        <v>42923</v>
      </c>
      <c r="B192" s="6">
        <f>F191</f>
        <v>1970951.740136273</v>
      </c>
      <c r="C192">
        <f t="shared" si="18"/>
        <v>252.05479452054792</v>
      </c>
      <c r="D192" s="6">
        <f>B192*$B$8</f>
        <v>429.35296848584301</v>
      </c>
      <c r="E192" s="6">
        <f>D192-C192</f>
        <v>177.29817396529509</v>
      </c>
      <c r="F192" s="6">
        <f>B192+E192</f>
        <v>1971129.0383102382</v>
      </c>
      <c r="G192" s="13">
        <f t="shared" si="19"/>
        <v>1971129.0383102382</v>
      </c>
      <c r="I192" s="37">
        <f t="shared" si="25"/>
        <v>31129.038310239353</v>
      </c>
      <c r="J192" s="37">
        <f t="shared" si="26"/>
        <v>67046.575342465614</v>
      </c>
      <c r="K192" s="36">
        <f t="shared" si="20"/>
        <v>98.556451915511914</v>
      </c>
      <c r="L192" s="36">
        <f t="shared" si="21"/>
        <v>101.9087806826352</v>
      </c>
      <c r="M192" s="35">
        <f t="shared" si="22"/>
        <v>1971129.0383102384</v>
      </c>
      <c r="N192" s="35">
        <f t="shared" si="23"/>
        <v>2038175.6136527041</v>
      </c>
    </row>
    <row r="193" spans="1:14" x14ac:dyDescent="0.15">
      <c r="A193" s="3">
        <f t="shared" si="24"/>
        <v>42924</v>
      </c>
      <c r="B193" s="6">
        <f>F192</f>
        <v>1971129.0383102382</v>
      </c>
      <c r="C193">
        <f t="shared" si="18"/>
        <v>252.05479452054792</v>
      </c>
      <c r="D193" s="6">
        <f>B193*$B$8</f>
        <v>429.39159119574953</v>
      </c>
      <c r="E193" s="6">
        <f>D193-C193</f>
        <v>177.33679667520161</v>
      </c>
      <c r="F193" s="6">
        <f>B193+E193</f>
        <v>1971306.3751069133</v>
      </c>
      <c r="G193" s="13">
        <f t="shared" si="19"/>
        <v>1971306.3751069133</v>
      </c>
      <c r="I193" s="37">
        <f t="shared" si="25"/>
        <v>31306.375106914555</v>
      </c>
      <c r="J193" s="37">
        <f t="shared" si="26"/>
        <v>67298.630136986161</v>
      </c>
      <c r="K193" s="36">
        <f t="shared" si="20"/>
        <v>98.565318755345672</v>
      </c>
      <c r="L193" s="36">
        <f t="shared" si="21"/>
        <v>101.93025026219497</v>
      </c>
      <c r="M193" s="35">
        <f t="shared" si="22"/>
        <v>1971306.3751069135</v>
      </c>
      <c r="N193" s="35">
        <f t="shared" si="23"/>
        <v>2038605.0052438995</v>
      </c>
    </row>
    <row r="194" spans="1:14" x14ac:dyDescent="0.15">
      <c r="A194" s="3">
        <f t="shared" si="24"/>
        <v>42925</v>
      </c>
      <c r="B194" s="6">
        <f>F193</f>
        <v>1971306.3751069133</v>
      </c>
      <c r="C194">
        <f t="shared" si="18"/>
        <v>252.05479452054792</v>
      </c>
      <c r="D194" s="6">
        <f>B194*$B$8</f>
        <v>429.43022231924368</v>
      </c>
      <c r="E194" s="6">
        <f>D194-C194</f>
        <v>177.37542779869577</v>
      </c>
      <c r="F194" s="6">
        <f>B194+E194</f>
        <v>1971483.7505347119</v>
      </c>
      <c r="G194" s="13">
        <f t="shared" si="19"/>
        <v>1971483.7505347119</v>
      </c>
      <c r="I194" s="37">
        <f t="shared" si="25"/>
        <v>31483.75053471325</v>
      </c>
      <c r="J194" s="37">
        <f t="shared" si="26"/>
        <v>67550.684931506708</v>
      </c>
      <c r="K194" s="36">
        <f t="shared" si="20"/>
        <v>98.574187526735585</v>
      </c>
      <c r="L194" s="36">
        <f t="shared" si="21"/>
        <v>101.95172177331092</v>
      </c>
      <c r="M194" s="35">
        <f t="shared" si="22"/>
        <v>1971483.7505347119</v>
      </c>
      <c r="N194" s="35">
        <f t="shared" si="23"/>
        <v>2039034.4354662183</v>
      </c>
    </row>
    <row r="195" spans="1:14" x14ac:dyDescent="0.15">
      <c r="A195" s="3">
        <f t="shared" si="24"/>
        <v>42926</v>
      </c>
      <c r="B195" s="6">
        <f>F194</f>
        <v>1971483.7505347119</v>
      </c>
      <c r="C195">
        <f t="shared" si="18"/>
        <v>252.05479452054792</v>
      </c>
      <c r="D195" s="6">
        <f>B195*$B$8</f>
        <v>429.46886185815828</v>
      </c>
      <c r="E195" s="6">
        <f>D195-C195</f>
        <v>177.41406733761036</v>
      </c>
      <c r="F195" s="6">
        <f>B195+E195</f>
        <v>1971661.1646020494</v>
      </c>
      <c r="G195" s="13">
        <f t="shared" si="19"/>
        <v>1971661.1646020494</v>
      </c>
      <c r="I195" s="37">
        <f t="shared" si="25"/>
        <v>31661.16460205086</v>
      </c>
      <c r="J195" s="37">
        <f t="shared" si="26"/>
        <v>67802.739726027256</v>
      </c>
      <c r="K195" s="36">
        <f t="shared" si="20"/>
        <v>98.583058230102466</v>
      </c>
      <c r="L195" s="36">
        <f t="shared" si="21"/>
        <v>101.97319521640382</v>
      </c>
      <c r="M195" s="35">
        <f t="shared" si="22"/>
        <v>1971661.1646020494</v>
      </c>
      <c r="N195" s="35">
        <f t="shared" si="23"/>
        <v>2039463.9043280766</v>
      </c>
    </row>
    <row r="196" spans="1:14" x14ac:dyDescent="0.15">
      <c r="A196" s="3">
        <f t="shared" si="24"/>
        <v>42927</v>
      </c>
      <c r="B196" s="6">
        <f>F195</f>
        <v>1971661.1646020494</v>
      </c>
      <c r="C196">
        <f t="shared" si="18"/>
        <v>252.05479452054792</v>
      </c>
      <c r="D196" s="6">
        <f>B196*$B$8</f>
        <v>429.50750981432651</v>
      </c>
      <c r="E196" s="6">
        <f>D196-C196</f>
        <v>177.4527152937786</v>
      </c>
      <c r="F196" s="6">
        <f>B196+E196</f>
        <v>1971838.6173173431</v>
      </c>
      <c r="G196" s="13">
        <f t="shared" si="19"/>
        <v>1971838.6173173431</v>
      </c>
      <c r="I196" s="37">
        <f t="shared" si="25"/>
        <v>31838.617317344637</v>
      </c>
      <c r="J196" s="37">
        <f t="shared" si="26"/>
        <v>68054.794520547803</v>
      </c>
      <c r="K196" s="36">
        <f t="shared" si="20"/>
        <v>98.591930865867155</v>
      </c>
      <c r="L196" s="36">
        <f t="shared" si="21"/>
        <v>101.99467059189455</v>
      </c>
      <c r="M196" s="35">
        <f t="shared" si="22"/>
        <v>1971838.6173173431</v>
      </c>
      <c r="N196" s="35">
        <f t="shared" si="23"/>
        <v>2039893.411837891</v>
      </c>
    </row>
    <row r="197" spans="1:14" x14ac:dyDescent="0.15">
      <c r="A197" s="3">
        <f t="shared" si="24"/>
        <v>42928</v>
      </c>
      <c r="B197" s="6">
        <f>F196</f>
        <v>1971838.6173173431</v>
      </c>
      <c r="C197">
        <f t="shared" si="18"/>
        <v>252.05479452054792</v>
      </c>
      <c r="D197" s="6">
        <f>B197*$B$8</f>
        <v>429.54616618958204</v>
      </c>
      <c r="E197" s="6">
        <f>D197-C197</f>
        <v>177.49137166903412</v>
      </c>
      <c r="F197" s="6">
        <f>B197+E197</f>
        <v>1972016.1086890122</v>
      </c>
      <c r="G197" s="13">
        <f t="shared" si="19"/>
        <v>1972016.108689012</v>
      </c>
      <c r="I197" s="37">
        <f t="shared" si="25"/>
        <v>32016.108689013672</v>
      </c>
      <c r="J197" s="37">
        <f t="shared" si="26"/>
        <v>68306.84931506835</v>
      </c>
      <c r="K197" s="36">
        <f t="shared" si="20"/>
        <v>98.600805434450606</v>
      </c>
      <c r="L197" s="36">
        <f t="shared" si="21"/>
        <v>102.01614790020402</v>
      </c>
      <c r="M197" s="35">
        <f t="shared" si="22"/>
        <v>1972016.1086890122</v>
      </c>
      <c r="N197" s="35">
        <f t="shared" si="23"/>
        <v>2040322.9580040805</v>
      </c>
    </row>
    <row r="198" spans="1:14" x14ac:dyDescent="0.15">
      <c r="A198" s="3">
        <f t="shared" si="24"/>
        <v>42929</v>
      </c>
      <c r="B198" s="6">
        <f>F197</f>
        <v>1972016.1086890122</v>
      </c>
      <c r="C198">
        <f t="shared" si="18"/>
        <v>252.05479452054792</v>
      </c>
      <c r="D198" s="6">
        <f>B198*$B$8</f>
        <v>429.58483098575891</v>
      </c>
      <c r="E198" s="6">
        <f>D198-C198</f>
        <v>177.530036465211</v>
      </c>
      <c r="F198" s="6">
        <f>B198+E198</f>
        <v>1972193.6387254775</v>
      </c>
      <c r="G198" s="13">
        <f t="shared" si="19"/>
        <v>1972193.6387254775</v>
      </c>
      <c r="I198" s="37">
        <f t="shared" si="25"/>
        <v>32193.638725478882</v>
      </c>
      <c r="J198" s="37">
        <f t="shared" si="26"/>
        <v>68558.904109588897</v>
      </c>
      <c r="K198" s="36">
        <f t="shared" si="20"/>
        <v>98.609681936273873</v>
      </c>
      <c r="L198" s="36">
        <f t="shared" si="21"/>
        <v>102.03762714175332</v>
      </c>
      <c r="M198" s="35">
        <f t="shared" si="22"/>
        <v>1972193.6387254775</v>
      </c>
      <c r="N198" s="35">
        <f t="shared" si="23"/>
        <v>2040752.5428350663</v>
      </c>
    </row>
    <row r="199" spans="1:14" x14ac:dyDescent="0.15">
      <c r="A199" s="3">
        <f t="shared" si="24"/>
        <v>42930</v>
      </c>
      <c r="B199" s="6">
        <f>F198</f>
        <v>1972193.6387254775</v>
      </c>
      <c r="C199">
        <f t="shared" si="18"/>
        <v>252.05479452054792</v>
      </c>
      <c r="D199" s="6">
        <f>B199*$B$8</f>
        <v>429.62350420469141</v>
      </c>
      <c r="E199" s="6">
        <f>D199-C199</f>
        <v>177.5687096841435</v>
      </c>
      <c r="F199" s="6">
        <f>B199+E199</f>
        <v>1972371.2074351616</v>
      </c>
      <c r="G199" s="13">
        <f t="shared" si="19"/>
        <v>1972371.2074351616</v>
      </c>
      <c r="I199" s="37">
        <f t="shared" si="25"/>
        <v>32371.207435163025</v>
      </c>
      <c r="J199" s="37">
        <f t="shared" si="26"/>
        <v>68810.958904109444</v>
      </c>
      <c r="K199" s="36">
        <f t="shared" si="20"/>
        <v>98.618560371758079</v>
      </c>
      <c r="L199" s="36">
        <f t="shared" si="21"/>
        <v>102.05910831696355</v>
      </c>
      <c r="M199" s="35">
        <f t="shared" si="22"/>
        <v>1972371.2074351616</v>
      </c>
      <c r="N199" s="35">
        <f t="shared" si="23"/>
        <v>2041182.1663392708</v>
      </c>
    </row>
    <row r="200" spans="1:14" x14ac:dyDescent="0.15">
      <c r="A200" s="3">
        <f t="shared" si="24"/>
        <v>42931</v>
      </c>
      <c r="B200" s="6">
        <f>F199</f>
        <v>1972371.2074351616</v>
      </c>
      <c r="C200">
        <f t="shared" si="18"/>
        <v>252.05479452054792</v>
      </c>
      <c r="D200" s="6">
        <f>B200*$B$8</f>
        <v>429.66218584821445</v>
      </c>
      <c r="E200" s="6">
        <f>D200-C200</f>
        <v>177.60739132766653</v>
      </c>
      <c r="F200" s="6">
        <f>B200+E200</f>
        <v>1972548.8148264892</v>
      </c>
      <c r="G200" s="13">
        <f t="shared" si="19"/>
        <v>1972548.8148264892</v>
      </c>
      <c r="I200" s="37">
        <f t="shared" si="25"/>
        <v>32548.814826490692</v>
      </c>
      <c r="J200" s="37">
        <f t="shared" si="26"/>
        <v>69063.013698629991</v>
      </c>
      <c r="K200" s="36">
        <f t="shared" si="20"/>
        <v>98.627440741324463</v>
      </c>
      <c r="L200" s="36">
        <f t="shared" si="21"/>
        <v>102.08059142625596</v>
      </c>
      <c r="M200" s="35">
        <f t="shared" si="22"/>
        <v>1972548.8148264894</v>
      </c>
      <c r="N200" s="35">
        <f t="shared" si="23"/>
        <v>2041611.8285251195</v>
      </c>
    </row>
    <row r="201" spans="1:14" x14ac:dyDescent="0.15">
      <c r="A201" s="3">
        <f t="shared" si="24"/>
        <v>42932</v>
      </c>
      <c r="B201" s="6">
        <f>F200</f>
        <v>1972548.8148264892</v>
      </c>
      <c r="C201">
        <f t="shared" si="18"/>
        <v>252.05479452054792</v>
      </c>
      <c r="D201" s="6">
        <f>B201*$B$8</f>
        <v>429.70087591816326</v>
      </c>
      <c r="E201" s="6">
        <f>D201-C201</f>
        <v>177.64608139761535</v>
      </c>
      <c r="F201" s="6">
        <f>B201+E201</f>
        <v>1972726.4609078867</v>
      </c>
      <c r="G201" s="13">
        <f t="shared" si="19"/>
        <v>1972726.4609078867</v>
      </c>
      <c r="I201" s="37">
        <f t="shared" si="25"/>
        <v>32726.460907888308</v>
      </c>
      <c r="J201" s="37">
        <f t="shared" si="26"/>
        <v>69315.068493150538</v>
      </c>
      <c r="K201" s="36">
        <f t="shared" si="20"/>
        <v>98.636323045394334</v>
      </c>
      <c r="L201" s="36">
        <f t="shared" si="21"/>
        <v>102.10207647005186</v>
      </c>
      <c r="M201" s="35">
        <f t="shared" si="22"/>
        <v>1972726.4609078867</v>
      </c>
      <c r="N201" s="35">
        <f t="shared" si="23"/>
        <v>2042041.5294010371</v>
      </c>
    </row>
    <row r="202" spans="1:14" x14ac:dyDescent="0.15">
      <c r="A202" s="3">
        <f t="shared" si="24"/>
        <v>42933</v>
      </c>
      <c r="B202" s="6">
        <f>F201</f>
        <v>1972726.4609078867</v>
      </c>
      <c r="C202">
        <f t="shared" si="18"/>
        <v>252.05479452054792</v>
      </c>
      <c r="D202" s="6">
        <f>B202*$B$8</f>
        <v>429.73957441637339</v>
      </c>
      <c r="E202" s="6">
        <f>D202-C202</f>
        <v>177.68477989582547</v>
      </c>
      <c r="F202" s="6">
        <f>B202+E202</f>
        <v>1972904.1456877827</v>
      </c>
      <c r="G202" s="13">
        <f t="shared" si="19"/>
        <v>1972904.1456877824</v>
      </c>
      <c r="I202" s="37">
        <f t="shared" si="25"/>
        <v>32904.145687784134</v>
      </c>
      <c r="J202" s="37">
        <f t="shared" si="26"/>
        <v>69567.123287671086</v>
      </c>
      <c r="K202" s="36">
        <f t="shared" si="20"/>
        <v>98.64520728438913</v>
      </c>
      <c r="L202" s="36">
        <f t="shared" si="21"/>
        <v>102.12356344877269</v>
      </c>
      <c r="M202" s="35">
        <f t="shared" si="22"/>
        <v>1972904.1456877824</v>
      </c>
      <c r="N202" s="35">
        <f t="shared" si="23"/>
        <v>2042471.2689754537</v>
      </c>
    </row>
    <row r="203" spans="1:14" x14ac:dyDescent="0.15">
      <c r="A203" s="3">
        <f t="shared" si="24"/>
        <v>42934</v>
      </c>
      <c r="B203" s="6">
        <f>F202</f>
        <v>1972904.1456877827</v>
      </c>
      <c r="C203">
        <f t="shared" si="18"/>
        <v>252.05479452054792</v>
      </c>
      <c r="D203" s="6">
        <f>B203*$B$8</f>
        <v>429.77828134468092</v>
      </c>
      <c r="E203" s="6">
        <f>D203-C203</f>
        <v>177.723486824133</v>
      </c>
      <c r="F203" s="6">
        <f>B203+E203</f>
        <v>1973081.8691746069</v>
      </c>
      <c r="G203" s="13">
        <f t="shared" si="19"/>
        <v>1973081.8691746066</v>
      </c>
      <c r="I203" s="37">
        <f t="shared" si="25"/>
        <v>33081.86917460827</v>
      </c>
      <c r="J203" s="37">
        <f t="shared" si="26"/>
        <v>69819.178082191633</v>
      </c>
      <c r="K203" s="36">
        <f t="shared" si="20"/>
        <v>98.65409345873033</v>
      </c>
      <c r="L203" s="36">
        <f t="shared" si="21"/>
        <v>102.14505236283991</v>
      </c>
      <c r="M203" s="35">
        <f t="shared" si="22"/>
        <v>1973081.8691746064</v>
      </c>
      <c r="N203" s="35">
        <f t="shared" si="23"/>
        <v>2042901.0472567983</v>
      </c>
    </row>
    <row r="204" spans="1:14" x14ac:dyDescent="0.15">
      <c r="A204" s="3">
        <f t="shared" si="24"/>
        <v>42935</v>
      </c>
      <c r="B204" s="6">
        <f>F203</f>
        <v>1973081.8691746069</v>
      </c>
      <c r="C204">
        <f t="shared" si="18"/>
        <v>252.05479452054792</v>
      </c>
      <c r="D204" s="6">
        <f>B204*$B$8</f>
        <v>429.81699670492225</v>
      </c>
      <c r="E204" s="6">
        <f>D204-C204</f>
        <v>177.76220218437433</v>
      </c>
      <c r="F204" s="6">
        <f>B204+E204</f>
        <v>1973259.6313767913</v>
      </c>
      <c r="G204" s="13">
        <f t="shared" si="19"/>
        <v>1973259.6313767913</v>
      </c>
      <c r="I204" s="37">
        <f t="shared" si="25"/>
        <v>33259.63137679264</v>
      </c>
      <c r="J204" s="37">
        <f t="shared" si="26"/>
        <v>70071.23287671218</v>
      </c>
      <c r="K204" s="36">
        <f t="shared" si="20"/>
        <v>98.662981568839569</v>
      </c>
      <c r="L204" s="36">
        <f t="shared" si="21"/>
        <v>102.16654321267518</v>
      </c>
      <c r="M204" s="35">
        <f t="shared" si="22"/>
        <v>1973259.6313767913</v>
      </c>
      <c r="N204" s="35">
        <f t="shared" si="23"/>
        <v>2043330.8642535037</v>
      </c>
    </row>
    <row r="205" spans="1:14" x14ac:dyDescent="0.15">
      <c r="A205" s="3">
        <f t="shared" si="24"/>
        <v>42936</v>
      </c>
      <c r="B205" s="6">
        <f>F204</f>
        <v>1973259.6313767913</v>
      </c>
      <c r="C205">
        <f t="shared" si="18"/>
        <v>252.05479452054792</v>
      </c>
      <c r="D205" s="6">
        <f>B205*$B$8</f>
        <v>429.85572049893415</v>
      </c>
      <c r="E205" s="6">
        <f>D205-C205</f>
        <v>177.80092597838623</v>
      </c>
      <c r="F205" s="6">
        <f>B205+E205</f>
        <v>1973437.4323027697</v>
      </c>
      <c r="G205" s="13">
        <f t="shared" si="19"/>
        <v>1973437.4323027695</v>
      </c>
      <c r="I205" s="37">
        <f t="shared" si="25"/>
        <v>33437.432302771027</v>
      </c>
      <c r="J205" s="37">
        <f t="shared" si="26"/>
        <v>70323.287671232727</v>
      </c>
      <c r="K205" s="36">
        <f t="shared" si="20"/>
        <v>98.671871615138471</v>
      </c>
      <c r="L205" s="36">
        <f t="shared" si="21"/>
        <v>102.1880359987001</v>
      </c>
      <c r="M205" s="35">
        <f t="shared" si="22"/>
        <v>1973437.4323027695</v>
      </c>
      <c r="N205" s="35">
        <f t="shared" si="23"/>
        <v>2043760.7199740019</v>
      </c>
    </row>
    <row r="206" spans="1:14" x14ac:dyDescent="0.15">
      <c r="A206" s="3">
        <f t="shared" si="24"/>
        <v>42937</v>
      </c>
      <c r="B206" s="6">
        <f>F205</f>
        <v>1973437.4323027697</v>
      </c>
      <c r="C206">
        <f t="shared" ref="C206:C269" si="27">$E$8*$E$6/100</f>
        <v>252.05479452054792</v>
      </c>
      <c r="D206" s="6">
        <f>B206*$B$8</f>
        <v>429.89445272855386</v>
      </c>
      <c r="E206" s="6">
        <f>D206-C206</f>
        <v>177.83965820800594</v>
      </c>
      <c r="F206" s="6">
        <f>B206+E206</f>
        <v>1973615.2719609777</v>
      </c>
      <c r="G206" s="13">
        <f t="shared" si="19"/>
        <v>1973615.2719609777</v>
      </c>
      <c r="I206" s="37">
        <f t="shared" si="25"/>
        <v>33615.271960979037</v>
      </c>
      <c r="J206" s="37">
        <f t="shared" si="26"/>
        <v>70575.342465753274</v>
      </c>
      <c r="K206" s="36">
        <f t="shared" si="20"/>
        <v>98.680763598048884</v>
      </c>
      <c r="L206" s="36">
        <f t="shared" si="21"/>
        <v>102.20953072133655</v>
      </c>
      <c r="M206" s="35">
        <f t="shared" si="22"/>
        <v>1973615.2719609777</v>
      </c>
      <c r="N206" s="35">
        <f t="shared" si="23"/>
        <v>2044190.6144267309</v>
      </c>
    </row>
    <row r="207" spans="1:14" x14ac:dyDescent="0.15">
      <c r="A207" s="3">
        <f t="shared" si="24"/>
        <v>42938</v>
      </c>
      <c r="B207" s="6">
        <f>F206</f>
        <v>1973615.2719609777</v>
      </c>
      <c r="C207">
        <f t="shared" si="27"/>
        <v>252.05479452054792</v>
      </c>
      <c r="D207" s="6">
        <f>B207*$B$8</f>
        <v>429.93319339561901</v>
      </c>
      <c r="E207" s="6">
        <f>D207-C207</f>
        <v>177.8783988750711</v>
      </c>
      <c r="F207" s="6">
        <f>B207+E207</f>
        <v>1973793.1503598527</v>
      </c>
      <c r="G207" s="13">
        <f t="shared" ref="G207:G270" si="28">B207+B207*$B$8-C207</f>
        <v>1973793.1503598527</v>
      </c>
      <c r="I207" s="37">
        <f t="shared" si="25"/>
        <v>33793.150359854109</v>
      </c>
      <c r="J207" s="37">
        <f t="shared" si="26"/>
        <v>70827.397260273821</v>
      </c>
      <c r="K207" s="36">
        <f t="shared" ref="K207:K270" si="29">G207/$E$6*100</f>
        <v>98.689657517992629</v>
      </c>
      <c r="L207" s="36">
        <f t="shared" ref="L207:L270" si="30">K207+J207/$E$6*100</f>
        <v>102.23102738100631</v>
      </c>
      <c r="M207" s="35">
        <f t="shared" ref="M207:M270" si="31">K207*$E$6/100</f>
        <v>1973793.1503598527</v>
      </c>
      <c r="N207" s="35">
        <f t="shared" ref="N207:N270" si="32">L207*$E$6/100</f>
        <v>2044620.5476201263</v>
      </c>
    </row>
    <row r="208" spans="1:14" x14ac:dyDescent="0.15">
      <c r="A208" s="3">
        <f t="shared" ref="A208:A271" si="33">A207+1</f>
        <v>42939</v>
      </c>
      <c r="B208" s="6">
        <f>F207</f>
        <v>1973793.1503598527</v>
      </c>
      <c r="C208">
        <f t="shared" si="27"/>
        <v>252.05479452054792</v>
      </c>
      <c r="D208" s="6">
        <f>B208*$B$8</f>
        <v>429.97194250196765</v>
      </c>
      <c r="E208" s="6">
        <f>D208-C208</f>
        <v>177.91714798141973</v>
      </c>
      <c r="F208" s="6">
        <f>B208+E208</f>
        <v>1973971.0675078342</v>
      </c>
      <c r="G208" s="13">
        <f t="shared" si="28"/>
        <v>1973971.0675078342</v>
      </c>
      <c r="I208" s="37">
        <f t="shared" ref="I208:I271" si="34">I207+E208</f>
        <v>33971.067507835527</v>
      </c>
      <c r="J208" s="37">
        <f t="shared" ref="J208:J271" si="35">J207+C208</f>
        <v>71079.452054794368</v>
      </c>
      <c r="K208" s="36">
        <f t="shared" si="29"/>
        <v>98.698553375391711</v>
      </c>
      <c r="L208" s="36">
        <f t="shared" si="30"/>
        <v>102.25252597813143</v>
      </c>
      <c r="M208" s="35">
        <f t="shared" si="31"/>
        <v>1973971.0675078342</v>
      </c>
      <c r="N208" s="35">
        <f t="shared" si="32"/>
        <v>2045050.5195626286</v>
      </c>
    </row>
    <row r="209" spans="1:14" x14ac:dyDescent="0.15">
      <c r="A209" s="3">
        <f t="shared" si="33"/>
        <v>42940</v>
      </c>
      <c r="B209" s="6">
        <f>F208</f>
        <v>1973971.0675078342</v>
      </c>
      <c r="C209">
        <f t="shared" si="27"/>
        <v>252.05479452054792</v>
      </c>
      <c r="D209" s="6">
        <f>B209*$B$8</f>
        <v>430.01070004943813</v>
      </c>
      <c r="E209" s="6">
        <f>D209-C209</f>
        <v>177.95590552889021</v>
      </c>
      <c r="F209" s="6">
        <f>B209+E209</f>
        <v>1974149.0234133631</v>
      </c>
      <c r="G209" s="13">
        <f t="shared" si="28"/>
        <v>1974149.0234133629</v>
      </c>
      <c r="I209" s="37">
        <f t="shared" si="34"/>
        <v>34149.023413364419</v>
      </c>
      <c r="J209" s="37">
        <f t="shared" si="35"/>
        <v>71331.506849314916</v>
      </c>
      <c r="K209" s="36">
        <f t="shared" si="29"/>
        <v>98.707451170668151</v>
      </c>
      <c r="L209" s="36">
        <f t="shared" si="30"/>
        <v>102.27402651313389</v>
      </c>
      <c r="M209" s="35">
        <f t="shared" si="31"/>
        <v>1974149.0234133631</v>
      </c>
      <c r="N209" s="35">
        <f t="shared" si="32"/>
        <v>2045480.5302626777</v>
      </c>
    </row>
    <row r="210" spans="1:14" x14ac:dyDescent="0.15">
      <c r="A210" s="3">
        <f t="shared" si="33"/>
        <v>42941</v>
      </c>
      <c r="B210" s="6">
        <f>F209</f>
        <v>1974149.0234133631</v>
      </c>
      <c r="C210">
        <f t="shared" si="27"/>
        <v>252.05479452054792</v>
      </c>
      <c r="D210" s="6">
        <f>B210*$B$8</f>
        <v>430.04946603986929</v>
      </c>
      <c r="E210" s="6">
        <f>D210-C210</f>
        <v>177.99467151932137</v>
      </c>
      <c r="F210" s="6">
        <f>B210+E210</f>
        <v>1974327.0180848825</v>
      </c>
      <c r="G210" s="13">
        <f t="shared" si="28"/>
        <v>1974327.0180848825</v>
      </c>
      <c r="I210" s="37">
        <f t="shared" si="34"/>
        <v>34327.018084883741</v>
      </c>
      <c r="J210" s="37">
        <f t="shared" si="35"/>
        <v>71583.561643835463</v>
      </c>
      <c r="K210" s="36">
        <f t="shared" si="29"/>
        <v>98.716350904244123</v>
      </c>
      <c r="L210" s="36">
        <f t="shared" si="30"/>
        <v>102.2955289864359</v>
      </c>
      <c r="M210" s="35">
        <f t="shared" si="31"/>
        <v>1974327.0180848825</v>
      </c>
      <c r="N210" s="35">
        <f t="shared" si="32"/>
        <v>2045910.5797287179</v>
      </c>
    </row>
    <row r="211" spans="1:14" x14ac:dyDescent="0.15">
      <c r="A211" s="3">
        <f t="shared" si="33"/>
        <v>42942</v>
      </c>
      <c r="B211" s="6">
        <f>F210</f>
        <v>1974327.0180848825</v>
      </c>
      <c r="C211">
        <f t="shared" si="27"/>
        <v>252.05479452054792</v>
      </c>
      <c r="D211" s="6">
        <f>B211*$B$8</f>
        <v>430.08824047510041</v>
      </c>
      <c r="E211" s="6">
        <f>D211-C211</f>
        <v>178.03344595455249</v>
      </c>
      <c r="F211" s="6">
        <f>B211+E211</f>
        <v>1974505.0515308371</v>
      </c>
      <c r="G211" s="13">
        <f t="shared" si="28"/>
        <v>1974505.0515308371</v>
      </c>
      <c r="I211" s="37">
        <f t="shared" si="34"/>
        <v>34505.051530838296</v>
      </c>
      <c r="J211" s="37">
        <f t="shared" si="35"/>
        <v>71835.61643835601</v>
      </c>
      <c r="K211" s="36">
        <f t="shared" si="29"/>
        <v>98.725252576541862</v>
      </c>
      <c r="L211" s="36">
        <f t="shared" si="30"/>
        <v>102.31703339845966</v>
      </c>
      <c r="M211" s="35">
        <f t="shared" si="31"/>
        <v>1974505.0515308371</v>
      </c>
      <c r="N211" s="35">
        <f t="shared" si="32"/>
        <v>2046340.6679691931</v>
      </c>
    </row>
    <row r="212" spans="1:14" x14ac:dyDescent="0.15">
      <c r="A212" s="3">
        <f t="shared" si="33"/>
        <v>42943</v>
      </c>
      <c r="B212" s="6">
        <f>F211</f>
        <v>1974505.0515308371</v>
      </c>
      <c r="C212">
        <f t="shared" si="27"/>
        <v>252.05479452054792</v>
      </c>
      <c r="D212" s="6">
        <f>B212*$B$8</f>
        <v>430.12702335697099</v>
      </c>
      <c r="E212" s="6">
        <f>D212-C212</f>
        <v>178.07222883642308</v>
      </c>
      <c r="F212" s="6">
        <f>B212+E212</f>
        <v>1974683.1237596734</v>
      </c>
      <c r="G212" s="13">
        <f t="shared" si="28"/>
        <v>1974683.1237596734</v>
      </c>
      <c r="I212" s="37">
        <f t="shared" si="34"/>
        <v>34683.123759674716</v>
      </c>
      <c r="J212" s="37">
        <f t="shared" si="35"/>
        <v>72087.671232876557</v>
      </c>
      <c r="K212" s="36">
        <f t="shared" si="29"/>
        <v>98.734156187983672</v>
      </c>
      <c r="L212" s="36">
        <f t="shared" si="30"/>
        <v>102.3385397496275</v>
      </c>
      <c r="M212" s="35">
        <f t="shared" si="31"/>
        <v>1974683.1237596734</v>
      </c>
      <c r="N212" s="35">
        <f t="shared" si="32"/>
        <v>2046770.79499255</v>
      </c>
    </row>
    <row r="213" spans="1:14" x14ac:dyDescent="0.15">
      <c r="A213" s="3">
        <f t="shared" si="33"/>
        <v>42944</v>
      </c>
      <c r="B213" s="6">
        <f>F212</f>
        <v>1974683.1237596734</v>
      </c>
      <c r="C213">
        <f t="shared" si="27"/>
        <v>252.05479452054792</v>
      </c>
      <c r="D213" s="6">
        <f>B213*$B$8</f>
        <v>430.16581468732113</v>
      </c>
      <c r="E213" s="6">
        <f>D213-C213</f>
        <v>178.11102016677322</v>
      </c>
      <c r="F213" s="6">
        <f>B213+E213</f>
        <v>1974861.2347798401</v>
      </c>
      <c r="G213" s="13">
        <f t="shared" si="28"/>
        <v>1974861.2347798401</v>
      </c>
      <c r="I213" s="37">
        <f t="shared" si="34"/>
        <v>34861.234779841492</v>
      </c>
      <c r="J213" s="37">
        <f t="shared" si="35"/>
        <v>72339.726027397104</v>
      </c>
      <c r="K213" s="36">
        <f t="shared" si="29"/>
        <v>98.743061738992012</v>
      </c>
      <c r="L213" s="36">
        <f t="shared" si="30"/>
        <v>102.36004804036186</v>
      </c>
      <c r="M213" s="35">
        <f t="shared" si="31"/>
        <v>1974861.2347798401</v>
      </c>
      <c r="N213" s="35">
        <f t="shared" si="32"/>
        <v>2047200.9608072373</v>
      </c>
    </row>
    <row r="214" spans="1:14" x14ac:dyDescent="0.15">
      <c r="A214" s="3">
        <f t="shared" si="33"/>
        <v>42945</v>
      </c>
      <c r="B214" s="6">
        <f>F213</f>
        <v>1974861.2347798401</v>
      </c>
      <c r="C214">
        <f t="shared" si="27"/>
        <v>252.05479452054792</v>
      </c>
      <c r="D214" s="6">
        <f>B214*$B$8</f>
        <v>430.20461446799118</v>
      </c>
      <c r="E214" s="6">
        <f>D214-C214</f>
        <v>178.14981994744326</v>
      </c>
      <c r="F214" s="6">
        <f>B214+E214</f>
        <v>1975039.3845997876</v>
      </c>
      <c r="G214" s="13">
        <f t="shared" si="28"/>
        <v>1975039.3845997874</v>
      </c>
      <c r="I214" s="37">
        <f t="shared" si="34"/>
        <v>35039.384599788937</v>
      </c>
      <c r="J214" s="37">
        <f t="shared" si="35"/>
        <v>72591.780821917651</v>
      </c>
      <c r="K214" s="36">
        <f t="shared" si="29"/>
        <v>98.751969229989371</v>
      </c>
      <c r="L214" s="36">
        <f t="shared" si="30"/>
        <v>102.38155827108525</v>
      </c>
      <c r="M214" s="35">
        <f t="shared" si="31"/>
        <v>1975039.3845997872</v>
      </c>
      <c r="N214" s="35">
        <f t="shared" si="32"/>
        <v>2047631.165421705</v>
      </c>
    </row>
    <row r="215" spans="1:14" x14ac:dyDescent="0.15">
      <c r="A215" s="3">
        <f t="shared" si="33"/>
        <v>42946</v>
      </c>
      <c r="B215" s="6">
        <f>F214</f>
        <v>1975039.3845997876</v>
      </c>
      <c r="C215">
        <f t="shared" si="27"/>
        <v>252.05479452054792</v>
      </c>
      <c r="D215" s="6">
        <f>B215*$B$8</f>
        <v>430.24342270082212</v>
      </c>
      <c r="E215" s="6">
        <f>D215-C215</f>
        <v>178.18862818027421</v>
      </c>
      <c r="F215" s="6">
        <f>B215+E215</f>
        <v>1975217.5732279678</v>
      </c>
      <c r="G215" s="13">
        <f t="shared" si="28"/>
        <v>1975217.5732279678</v>
      </c>
      <c r="I215" s="37">
        <f t="shared" si="34"/>
        <v>35217.573227969209</v>
      </c>
      <c r="J215" s="37">
        <f t="shared" si="35"/>
        <v>72843.835616438198</v>
      </c>
      <c r="K215" s="36">
        <f t="shared" si="29"/>
        <v>98.760878661398394</v>
      </c>
      <c r="L215" s="36">
        <f t="shared" si="30"/>
        <v>102.4030704422203</v>
      </c>
      <c r="M215" s="35">
        <f t="shared" si="31"/>
        <v>1975217.5732279678</v>
      </c>
      <c r="N215" s="35">
        <f t="shared" si="32"/>
        <v>2048061.408844406</v>
      </c>
    </row>
    <row r="216" spans="1:14" x14ac:dyDescent="0.15">
      <c r="A216" s="3">
        <f t="shared" si="33"/>
        <v>42947</v>
      </c>
      <c r="B216" s="6">
        <f>F215</f>
        <v>1975217.5732279678</v>
      </c>
      <c r="C216">
        <f t="shared" si="27"/>
        <v>252.05479452054792</v>
      </c>
      <c r="D216" s="6">
        <f>B216*$B$8</f>
        <v>430.28223938765495</v>
      </c>
      <c r="E216" s="6">
        <f>D216-C216</f>
        <v>178.22744486710704</v>
      </c>
      <c r="F216" s="6">
        <f>B216+E216</f>
        <v>1975395.800672835</v>
      </c>
      <c r="G216" s="13">
        <f t="shared" si="28"/>
        <v>1975395.800672835</v>
      </c>
      <c r="I216" s="37">
        <f t="shared" si="34"/>
        <v>35395.800672836318</v>
      </c>
      <c r="J216" s="37">
        <f t="shared" si="35"/>
        <v>73095.890410958746</v>
      </c>
      <c r="K216" s="36">
        <f t="shared" si="29"/>
        <v>98.76979003364174</v>
      </c>
      <c r="L216" s="36">
        <f t="shared" si="30"/>
        <v>102.42458455418968</v>
      </c>
      <c r="M216" s="35">
        <f t="shared" si="31"/>
        <v>1975395.8006728347</v>
      </c>
      <c r="N216" s="35">
        <f t="shared" si="32"/>
        <v>2048491.6910837935</v>
      </c>
    </row>
    <row r="217" spans="1:14" x14ac:dyDescent="0.15">
      <c r="A217" s="3">
        <f t="shared" si="33"/>
        <v>42948</v>
      </c>
      <c r="B217" s="6">
        <f>F216</f>
        <v>1975395.800672835</v>
      </c>
      <c r="C217">
        <f t="shared" si="27"/>
        <v>252.05479452054792</v>
      </c>
      <c r="D217" s="6">
        <f>B217*$B$8</f>
        <v>430.32106453033151</v>
      </c>
      <c r="E217" s="6">
        <f>D217-C217</f>
        <v>178.2662700097836</v>
      </c>
      <c r="F217" s="6">
        <f>B217+E217</f>
        <v>1975574.0669428448</v>
      </c>
      <c r="G217" s="13">
        <f t="shared" si="28"/>
        <v>1975574.0669428448</v>
      </c>
      <c r="I217" s="37">
        <f t="shared" si="34"/>
        <v>35574.066942846104</v>
      </c>
      <c r="J217" s="37">
        <f t="shared" si="35"/>
        <v>73347.945205479293</v>
      </c>
      <c r="K217" s="36">
        <f t="shared" si="29"/>
        <v>98.77870334714224</v>
      </c>
      <c r="L217" s="36">
        <f t="shared" si="30"/>
        <v>102.4461006074162</v>
      </c>
      <c r="M217" s="35">
        <f t="shared" si="31"/>
        <v>1975574.0669428448</v>
      </c>
      <c r="N217" s="35">
        <f t="shared" si="32"/>
        <v>2048922.0121483239</v>
      </c>
    </row>
    <row r="218" spans="1:14" x14ac:dyDescent="0.15">
      <c r="A218" s="3">
        <f t="shared" si="33"/>
        <v>42949</v>
      </c>
      <c r="B218" s="6">
        <f>F217</f>
        <v>1975574.0669428448</v>
      </c>
      <c r="C218">
        <f t="shared" si="27"/>
        <v>252.05479452054792</v>
      </c>
      <c r="D218" s="6">
        <f>B218*$B$8</f>
        <v>430.35989813069369</v>
      </c>
      <c r="E218" s="6">
        <f>D218-C218</f>
        <v>178.30510361014578</v>
      </c>
      <c r="F218" s="6">
        <f>B218+E218</f>
        <v>1975752.3720464548</v>
      </c>
      <c r="G218" s="13">
        <f t="shared" si="28"/>
        <v>1975752.3720464548</v>
      </c>
      <c r="I218" s="37">
        <f t="shared" si="34"/>
        <v>35752.37204645625</v>
      </c>
      <c r="J218" s="37">
        <f t="shared" si="35"/>
        <v>73599.99999999984</v>
      </c>
      <c r="K218" s="36">
        <f t="shared" si="29"/>
        <v>98.787618602322738</v>
      </c>
      <c r="L218" s="36">
        <f t="shared" si="30"/>
        <v>102.46761860232273</v>
      </c>
      <c r="M218" s="35">
        <f t="shared" si="31"/>
        <v>1975752.3720464548</v>
      </c>
      <c r="N218" s="35">
        <f t="shared" si="32"/>
        <v>2049352.3720464546</v>
      </c>
    </row>
    <row r="219" spans="1:14" x14ac:dyDescent="0.15">
      <c r="A219" s="3">
        <f t="shared" si="33"/>
        <v>42950</v>
      </c>
      <c r="B219" s="6">
        <f>F218</f>
        <v>1975752.3720464548</v>
      </c>
      <c r="C219">
        <f t="shared" si="27"/>
        <v>252.05479452054792</v>
      </c>
      <c r="D219" s="6">
        <f>B219*$B$8</f>
        <v>430.39874019058396</v>
      </c>
      <c r="E219" s="6">
        <f>D219-C219</f>
        <v>178.34394567003605</v>
      </c>
      <c r="F219" s="6">
        <f>B219+E219</f>
        <v>1975930.7159921248</v>
      </c>
      <c r="G219" s="13">
        <f t="shared" si="28"/>
        <v>1975930.7159921248</v>
      </c>
      <c r="I219" s="37">
        <f t="shared" si="34"/>
        <v>35930.715992126286</v>
      </c>
      <c r="J219" s="37">
        <f t="shared" si="35"/>
        <v>73852.054794520387</v>
      </c>
      <c r="K219" s="36">
        <f t="shared" si="29"/>
        <v>98.796535799606232</v>
      </c>
      <c r="L219" s="36">
        <f t="shared" si="30"/>
        <v>102.48913853933225</v>
      </c>
      <c r="M219" s="35">
        <f t="shared" si="31"/>
        <v>1975930.7159921248</v>
      </c>
      <c r="N219" s="35">
        <f t="shared" si="32"/>
        <v>2049782.7707866449</v>
      </c>
    </row>
    <row r="220" spans="1:14" x14ac:dyDescent="0.15">
      <c r="A220" s="3">
        <f t="shared" si="33"/>
        <v>42951</v>
      </c>
      <c r="B220" s="6">
        <f>F219</f>
        <v>1975930.7159921248</v>
      </c>
      <c r="C220">
        <f t="shared" si="27"/>
        <v>252.05479452054792</v>
      </c>
      <c r="D220" s="6">
        <f>B220*$B$8</f>
        <v>430.43759071184508</v>
      </c>
      <c r="E220" s="6">
        <f>D220-C220</f>
        <v>178.38279619129716</v>
      </c>
      <c r="F220" s="6">
        <f>B220+E220</f>
        <v>1976109.0987883161</v>
      </c>
      <c r="G220" s="13">
        <f t="shared" si="28"/>
        <v>1976109.0987883159</v>
      </c>
      <c r="I220" s="37">
        <f t="shared" si="34"/>
        <v>36109.098788317584</v>
      </c>
      <c r="J220" s="37">
        <f t="shared" si="35"/>
        <v>74104.109589040934</v>
      </c>
      <c r="K220" s="36">
        <f t="shared" si="29"/>
        <v>98.805454939415796</v>
      </c>
      <c r="L220" s="36">
        <f t="shared" si="30"/>
        <v>102.51066041886784</v>
      </c>
      <c r="M220" s="35">
        <f t="shared" si="31"/>
        <v>1976109.0987883159</v>
      </c>
      <c r="N220" s="35">
        <f t="shared" si="32"/>
        <v>2050213.2083773569</v>
      </c>
    </row>
    <row r="221" spans="1:14" x14ac:dyDescent="0.15">
      <c r="A221" s="3">
        <f t="shared" si="33"/>
        <v>42952</v>
      </c>
      <c r="B221" s="6">
        <f>F220</f>
        <v>1976109.0987883161</v>
      </c>
      <c r="C221">
        <f t="shared" si="27"/>
        <v>252.05479452054792</v>
      </c>
      <c r="D221" s="6">
        <f>B221*$B$8</f>
        <v>430.4764496963204</v>
      </c>
      <c r="E221" s="6">
        <f>D221-C221</f>
        <v>178.42165517577249</v>
      </c>
      <c r="F221" s="6">
        <f>B221+E221</f>
        <v>1976287.5204434919</v>
      </c>
      <c r="G221" s="13">
        <f t="shared" si="28"/>
        <v>1976287.5204434919</v>
      </c>
      <c r="I221" s="37">
        <f t="shared" si="34"/>
        <v>36287.520443493355</v>
      </c>
      <c r="J221" s="37">
        <f t="shared" si="35"/>
        <v>74356.164383561481</v>
      </c>
      <c r="K221" s="36">
        <f t="shared" si="29"/>
        <v>98.814376022174585</v>
      </c>
      <c r="L221" s="36">
        <f t="shared" si="30"/>
        <v>102.53218424135265</v>
      </c>
      <c r="M221" s="35">
        <f t="shared" si="31"/>
        <v>1976287.5204434916</v>
      </c>
      <c r="N221" s="35">
        <f t="shared" si="32"/>
        <v>2050643.684827053</v>
      </c>
    </row>
    <row r="222" spans="1:14" x14ac:dyDescent="0.15">
      <c r="A222" s="3">
        <f t="shared" si="33"/>
        <v>42953</v>
      </c>
      <c r="B222" s="6">
        <f>F221</f>
        <v>1976287.5204434919</v>
      </c>
      <c r="C222">
        <f t="shared" si="27"/>
        <v>252.05479452054792</v>
      </c>
      <c r="D222" s="6">
        <f>B222*$B$8</f>
        <v>430.51531714585349</v>
      </c>
      <c r="E222" s="6">
        <f>D222-C222</f>
        <v>178.46052262530557</v>
      </c>
      <c r="F222" s="6">
        <f>B222+E222</f>
        <v>1976465.9809661172</v>
      </c>
      <c r="G222" s="13">
        <f t="shared" si="28"/>
        <v>1976465.9809661172</v>
      </c>
      <c r="I222" s="37">
        <f t="shared" si="34"/>
        <v>36465.980966118659</v>
      </c>
      <c r="J222" s="37">
        <f t="shared" si="35"/>
        <v>74608.219178082029</v>
      </c>
      <c r="K222" s="36">
        <f t="shared" si="29"/>
        <v>98.823299048305856</v>
      </c>
      <c r="L222" s="36">
        <f t="shared" si="30"/>
        <v>102.55371000720996</v>
      </c>
      <c r="M222" s="35">
        <f t="shared" si="31"/>
        <v>1976465.980966117</v>
      </c>
      <c r="N222" s="35">
        <f t="shared" si="32"/>
        <v>2051074.2001441992</v>
      </c>
    </row>
    <row r="223" spans="1:14" x14ac:dyDescent="0.15">
      <c r="A223" s="3">
        <f t="shared" si="33"/>
        <v>42954</v>
      </c>
      <c r="B223" s="6">
        <f>F222</f>
        <v>1976465.9809661172</v>
      </c>
      <c r="C223">
        <f t="shared" si="27"/>
        <v>252.05479452054792</v>
      </c>
      <c r="D223" s="6">
        <f>B223*$B$8</f>
        <v>430.55419306228839</v>
      </c>
      <c r="E223" s="6">
        <f>D223-C223</f>
        <v>178.49939854174048</v>
      </c>
      <c r="F223" s="6">
        <f>B223+E223</f>
        <v>1976644.4803646589</v>
      </c>
      <c r="G223" s="13">
        <f t="shared" si="28"/>
        <v>1976644.4803646589</v>
      </c>
      <c r="I223" s="37">
        <f t="shared" si="34"/>
        <v>36644.480364660398</v>
      </c>
      <c r="J223" s="37">
        <f t="shared" si="35"/>
        <v>74860.273972602576</v>
      </c>
      <c r="K223" s="36">
        <f t="shared" si="29"/>
        <v>98.832224018232935</v>
      </c>
      <c r="L223" s="36">
        <f t="shared" si="30"/>
        <v>102.57523771686306</v>
      </c>
      <c r="M223" s="35">
        <f t="shared" si="31"/>
        <v>1976644.4803646589</v>
      </c>
      <c r="N223" s="35">
        <f t="shared" si="32"/>
        <v>2051504.754337261</v>
      </c>
    </row>
    <row r="224" spans="1:14" x14ac:dyDescent="0.15">
      <c r="A224" s="3">
        <f t="shared" si="33"/>
        <v>42955</v>
      </c>
      <c r="B224" s="6">
        <f>F223</f>
        <v>1976644.4803646589</v>
      </c>
      <c r="C224">
        <f t="shared" si="27"/>
        <v>252.05479452054792</v>
      </c>
      <c r="D224" s="6">
        <f>B224*$B$8</f>
        <v>430.59307744746945</v>
      </c>
      <c r="E224" s="6">
        <f>D224-C224</f>
        <v>178.53828292692154</v>
      </c>
      <c r="F224" s="6">
        <f>B224+E224</f>
        <v>1976823.0186475858</v>
      </c>
      <c r="G224" s="13">
        <f t="shared" si="28"/>
        <v>1976823.0186475858</v>
      </c>
      <c r="I224" s="37">
        <f t="shared" si="34"/>
        <v>36823.01864758732</v>
      </c>
      <c r="J224" s="37">
        <f t="shared" si="35"/>
        <v>75112.328767123123</v>
      </c>
      <c r="K224" s="36">
        <f t="shared" si="29"/>
        <v>98.841150932379279</v>
      </c>
      <c r="L224" s="36">
        <f t="shared" si="30"/>
        <v>102.59676737073544</v>
      </c>
      <c r="M224" s="35">
        <f t="shared" si="31"/>
        <v>1976823.0186475855</v>
      </c>
      <c r="N224" s="35">
        <f t="shared" si="32"/>
        <v>2051935.3474147087</v>
      </c>
    </row>
    <row r="225" spans="1:14" x14ac:dyDescent="0.15">
      <c r="A225" s="3">
        <f t="shared" si="33"/>
        <v>42956</v>
      </c>
      <c r="B225" s="6">
        <f>F224</f>
        <v>1976823.0186475858</v>
      </c>
      <c r="C225">
        <f t="shared" si="27"/>
        <v>252.05479452054792</v>
      </c>
      <c r="D225" s="6">
        <f>B225*$B$8</f>
        <v>430.63197030324164</v>
      </c>
      <c r="E225" s="6">
        <f>D225-C225</f>
        <v>178.57717578269373</v>
      </c>
      <c r="F225" s="6">
        <f>B225+E225</f>
        <v>1977001.5958233685</v>
      </c>
      <c r="G225" s="13">
        <f t="shared" si="28"/>
        <v>1977001.5958233683</v>
      </c>
      <c r="I225" s="37">
        <f t="shared" si="34"/>
        <v>37001.595823370015</v>
      </c>
      <c r="J225" s="37">
        <f t="shared" si="35"/>
        <v>75364.38356164367</v>
      </c>
      <c r="K225" s="36">
        <f t="shared" si="29"/>
        <v>98.850079791168412</v>
      </c>
      <c r="L225" s="36">
        <f t="shared" si="30"/>
        <v>102.61829896925059</v>
      </c>
      <c r="M225" s="35">
        <f t="shared" si="31"/>
        <v>1977001.5958233681</v>
      </c>
      <c r="N225" s="35">
        <f t="shared" si="32"/>
        <v>2052365.9793850118</v>
      </c>
    </row>
    <row r="226" spans="1:14" x14ac:dyDescent="0.15">
      <c r="A226" s="3">
        <f t="shared" si="33"/>
        <v>42957</v>
      </c>
      <c r="B226" s="6">
        <f>F225</f>
        <v>1977001.5958233685</v>
      </c>
      <c r="C226">
        <f t="shared" si="27"/>
        <v>252.05479452054792</v>
      </c>
      <c r="D226" s="6">
        <f>B226*$B$8</f>
        <v>430.6708716314501</v>
      </c>
      <c r="E226" s="6">
        <f>D226-C226</f>
        <v>178.61607711090218</v>
      </c>
      <c r="F226" s="6">
        <f>B226+E226</f>
        <v>1977180.2119004794</v>
      </c>
      <c r="G226" s="13">
        <f t="shared" si="28"/>
        <v>1977180.2119004794</v>
      </c>
      <c r="I226" s="37">
        <f t="shared" si="34"/>
        <v>37180.211900480914</v>
      </c>
      <c r="J226" s="37">
        <f t="shared" si="35"/>
        <v>75616.438356164217</v>
      </c>
      <c r="K226" s="36">
        <f t="shared" si="29"/>
        <v>98.85901059502396</v>
      </c>
      <c r="L226" s="36">
        <f t="shared" si="30"/>
        <v>102.63983251283217</v>
      </c>
      <c r="M226" s="35">
        <f t="shared" si="31"/>
        <v>1977180.2119004792</v>
      </c>
      <c r="N226" s="35">
        <f t="shared" si="32"/>
        <v>2052796.6502566433</v>
      </c>
    </row>
    <row r="227" spans="1:14" x14ac:dyDescent="0.15">
      <c r="A227" s="3">
        <f t="shared" si="33"/>
        <v>42958</v>
      </c>
      <c r="B227" s="6">
        <f>F226</f>
        <v>1977180.2119004794</v>
      </c>
      <c r="C227">
        <f t="shared" si="27"/>
        <v>252.05479452054792</v>
      </c>
      <c r="D227" s="6">
        <f>B227*$B$8</f>
        <v>430.70978143394052</v>
      </c>
      <c r="E227" s="6">
        <f>D227-C227</f>
        <v>178.65498691339261</v>
      </c>
      <c r="F227" s="6">
        <f>B227+E227</f>
        <v>1977358.8668873927</v>
      </c>
      <c r="G227" s="13">
        <f t="shared" si="28"/>
        <v>1977358.8668873927</v>
      </c>
      <c r="I227" s="37">
        <f t="shared" si="34"/>
        <v>37358.86688739431</v>
      </c>
      <c r="J227" s="37">
        <f t="shared" si="35"/>
        <v>75868.493150684764</v>
      </c>
      <c r="K227" s="36">
        <f t="shared" si="29"/>
        <v>98.867943344369635</v>
      </c>
      <c r="L227" s="36">
        <f t="shared" si="30"/>
        <v>102.66136800190387</v>
      </c>
      <c r="M227" s="35">
        <f t="shared" si="31"/>
        <v>1977358.8668873927</v>
      </c>
      <c r="N227" s="35">
        <f t="shared" si="32"/>
        <v>2053227.3600380772</v>
      </c>
    </row>
    <row r="228" spans="1:14" x14ac:dyDescent="0.15">
      <c r="A228" s="3">
        <f t="shared" si="33"/>
        <v>42959</v>
      </c>
      <c r="B228" s="6">
        <f>F227</f>
        <v>1977358.8668873927</v>
      </c>
      <c r="C228">
        <f t="shared" si="27"/>
        <v>252.05479452054792</v>
      </c>
      <c r="D228" s="6">
        <f>B228*$B$8</f>
        <v>430.74869971255896</v>
      </c>
      <c r="E228" s="6">
        <f>D228-C228</f>
        <v>178.69390519201104</v>
      </c>
      <c r="F228" s="6">
        <f>B228+E228</f>
        <v>1977537.5607925847</v>
      </c>
      <c r="G228" s="13">
        <f t="shared" si="28"/>
        <v>1977537.5607925847</v>
      </c>
      <c r="I228" s="37">
        <f t="shared" si="34"/>
        <v>37537.560792586322</v>
      </c>
      <c r="J228" s="37">
        <f t="shared" si="35"/>
        <v>76120.547945205311</v>
      </c>
      <c r="K228" s="36">
        <f t="shared" si="29"/>
        <v>98.876878039629233</v>
      </c>
      <c r="L228" s="36">
        <f t="shared" si="30"/>
        <v>102.6829054368895</v>
      </c>
      <c r="M228" s="35">
        <f t="shared" si="31"/>
        <v>1977537.5607925847</v>
      </c>
      <c r="N228" s="35">
        <f t="shared" si="32"/>
        <v>2053658.10873779</v>
      </c>
    </row>
    <row r="229" spans="1:14" x14ac:dyDescent="0.15">
      <c r="A229" s="3">
        <f t="shared" si="33"/>
        <v>42960</v>
      </c>
      <c r="B229" s="6">
        <f>F228</f>
        <v>1977537.5607925847</v>
      </c>
      <c r="C229">
        <f t="shared" si="27"/>
        <v>252.05479452054792</v>
      </c>
      <c r="D229" s="6">
        <f>B229*$B$8</f>
        <v>430.78762646915175</v>
      </c>
      <c r="E229" s="6">
        <f>D229-C229</f>
        <v>178.73283194860383</v>
      </c>
      <c r="F229" s="6">
        <f>B229+E229</f>
        <v>1977716.2936245333</v>
      </c>
      <c r="G229" s="13">
        <f t="shared" si="28"/>
        <v>1977716.2936245331</v>
      </c>
      <c r="I229" s="37">
        <f t="shared" si="34"/>
        <v>37716.293624534926</v>
      </c>
      <c r="J229" s="37">
        <f t="shared" si="35"/>
        <v>76372.602739725859</v>
      </c>
      <c r="K229" s="36">
        <f t="shared" si="29"/>
        <v>98.885814681226663</v>
      </c>
      <c r="L229" s="36">
        <f t="shared" si="30"/>
        <v>102.70444481821295</v>
      </c>
      <c r="M229" s="35">
        <f t="shared" si="31"/>
        <v>1977716.2936245331</v>
      </c>
      <c r="N229" s="35">
        <f t="shared" si="32"/>
        <v>2054088.8963642588</v>
      </c>
    </row>
    <row r="230" spans="1:14" x14ac:dyDescent="0.15">
      <c r="A230" s="3">
        <f t="shared" si="33"/>
        <v>42961</v>
      </c>
      <c r="B230" s="6">
        <f>F229</f>
        <v>1977716.2936245333</v>
      </c>
      <c r="C230">
        <f t="shared" si="27"/>
        <v>252.05479452054792</v>
      </c>
      <c r="D230" s="6">
        <f>B230*$B$8</f>
        <v>430.82656170556589</v>
      </c>
      <c r="E230" s="6">
        <f>D230-C230</f>
        <v>178.77176718501798</v>
      </c>
      <c r="F230" s="6">
        <f>B230+E230</f>
        <v>1977895.0653917184</v>
      </c>
      <c r="G230" s="13">
        <f t="shared" si="28"/>
        <v>1977895.0653917184</v>
      </c>
      <c r="I230" s="37">
        <f t="shared" si="34"/>
        <v>37895.065391719945</v>
      </c>
      <c r="J230" s="37">
        <f t="shared" si="35"/>
        <v>76624.657534246406</v>
      </c>
      <c r="K230" s="36">
        <f t="shared" si="29"/>
        <v>98.894753269585919</v>
      </c>
      <c r="L230" s="36">
        <f t="shared" si="30"/>
        <v>102.72598614629824</v>
      </c>
      <c r="M230" s="35">
        <f t="shared" si="31"/>
        <v>1977895.0653917184</v>
      </c>
      <c r="N230" s="35">
        <f t="shared" si="32"/>
        <v>2054519.722925965</v>
      </c>
    </row>
    <row r="231" spans="1:14" x14ac:dyDescent="0.15">
      <c r="A231" s="3">
        <f t="shared" si="33"/>
        <v>42962</v>
      </c>
      <c r="B231" s="6">
        <f>F230</f>
        <v>1977895.0653917184</v>
      </c>
      <c r="C231">
        <f t="shared" si="27"/>
        <v>252.05479452054792</v>
      </c>
      <c r="D231" s="6">
        <f>B231*$B$8</f>
        <v>430.86550542364853</v>
      </c>
      <c r="E231" s="6">
        <f>D231-C231</f>
        <v>178.81071090310061</v>
      </c>
      <c r="F231" s="6">
        <f>B231+E231</f>
        <v>1978073.8761026214</v>
      </c>
      <c r="G231" s="13">
        <f t="shared" si="28"/>
        <v>1978073.8761026214</v>
      </c>
      <c r="I231" s="37">
        <f t="shared" si="34"/>
        <v>38073.876102623042</v>
      </c>
      <c r="J231" s="37">
        <f t="shared" si="35"/>
        <v>76876.712328766953</v>
      </c>
      <c r="K231" s="36">
        <f t="shared" si="29"/>
        <v>98.90369380513107</v>
      </c>
      <c r="L231" s="36">
        <f t="shared" si="30"/>
        <v>102.74752942156942</v>
      </c>
      <c r="M231" s="35">
        <f t="shared" si="31"/>
        <v>1978073.8761026212</v>
      </c>
      <c r="N231" s="35">
        <f t="shared" si="32"/>
        <v>2054950.5884313884</v>
      </c>
    </row>
    <row r="232" spans="1:14" x14ac:dyDescent="0.15">
      <c r="A232" s="3">
        <f t="shared" si="33"/>
        <v>42963</v>
      </c>
      <c r="B232" s="6">
        <f>F231</f>
        <v>1978073.8761026214</v>
      </c>
      <c r="C232">
        <f t="shared" si="27"/>
        <v>252.05479452054792</v>
      </c>
      <c r="D232" s="6">
        <f>B232*$B$8</f>
        <v>430.90445762524735</v>
      </c>
      <c r="E232" s="6">
        <f>D232-C232</f>
        <v>178.84966310469943</v>
      </c>
      <c r="F232" s="6">
        <f>B232+E232</f>
        <v>1978252.7257657261</v>
      </c>
      <c r="G232" s="13">
        <f t="shared" si="28"/>
        <v>1978252.7257657261</v>
      </c>
      <c r="I232" s="37">
        <f t="shared" si="34"/>
        <v>38252.725765727744</v>
      </c>
      <c r="J232" s="37">
        <f t="shared" si="35"/>
        <v>77128.7671232875</v>
      </c>
      <c r="K232" s="36">
        <f t="shared" si="29"/>
        <v>98.912636288286308</v>
      </c>
      <c r="L232" s="36">
        <f t="shared" si="30"/>
        <v>102.76907464445068</v>
      </c>
      <c r="M232" s="35">
        <f t="shared" si="31"/>
        <v>1978252.7257657263</v>
      </c>
      <c r="N232" s="35">
        <f t="shared" si="32"/>
        <v>2055381.4928890136</v>
      </c>
    </row>
    <row r="233" spans="1:14" x14ac:dyDescent="0.15">
      <c r="A233" s="3">
        <f t="shared" si="33"/>
        <v>42964</v>
      </c>
      <c r="B233" s="6">
        <f>F232</f>
        <v>1978252.7257657261</v>
      </c>
      <c r="C233">
        <f t="shared" si="27"/>
        <v>252.05479452054792</v>
      </c>
      <c r="D233" s="6">
        <f>B233*$B$8</f>
        <v>430.94341831221033</v>
      </c>
      <c r="E233" s="6">
        <f>D233-C233</f>
        <v>178.88862379166241</v>
      </c>
      <c r="F233" s="6">
        <f>B233+E233</f>
        <v>1978431.6143895178</v>
      </c>
      <c r="G233" s="13">
        <f t="shared" si="28"/>
        <v>1978431.6143895176</v>
      </c>
      <c r="I233" s="37">
        <f t="shared" si="34"/>
        <v>38431.614389519404</v>
      </c>
      <c r="J233" s="37">
        <f t="shared" si="35"/>
        <v>77380.821917808047</v>
      </c>
      <c r="K233" s="36">
        <f t="shared" si="29"/>
        <v>98.921580719475884</v>
      </c>
      <c r="L233" s="36">
        <f t="shared" si="30"/>
        <v>102.79062181536628</v>
      </c>
      <c r="M233" s="35">
        <f t="shared" si="31"/>
        <v>1978431.6143895176</v>
      </c>
      <c r="N233" s="35">
        <f t="shared" si="32"/>
        <v>2055812.4363073257</v>
      </c>
    </row>
    <row r="234" spans="1:14" x14ac:dyDescent="0.15">
      <c r="A234" s="3">
        <f t="shared" si="33"/>
        <v>42965</v>
      </c>
      <c r="B234" s="6">
        <f>F233</f>
        <v>1978431.6143895178</v>
      </c>
      <c r="C234">
        <f t="shared" si="27"/>
        <v>252.05479452054792</v>
      </c>
      <c r="D234" s="6">
        <f>B234*$B$8</f>
        <v>430.98238748638607</v>
      </c>
      <c r="E234" s="6">
        <f>D234-C234</f>
        <v>178.92759296583816</v>
      </c>
      <c r="F234" s="6">
        <f>B234+E234</f>
        <v>1978610.5419824836</v>
      </c>
      <c r="G234" s="13">
        <f t="shared" si="28"/>
        <v>1978610.5419824836</v>
      </c>
      <c r="I234" s="37">
        <f t="shared" si="34"/>
        <v>38610.541982485243</v>
      </c>
      <c r="J234" s="37">
        <f t="shared" si="35"/>
        <v>77632.876712328594</v>
      </c>
      <c r="K234" s="36">
        <f t="shared" si="29"/>
        <v>98.930527099124177</v>
      </c>
      <c r="L234" s="36">
        <f t="shared" si="30"/>
        <v>102.81217093474061</v>
      </c>
      <c r="M234" s="35">
        <f t="shared" si="31"/>
        <v>1978610.5419824836</v>
      </c>
      <c r="N234" s="35">
        <f t="shared" si="32"/>
        <v>2056243.4186948121</v>
      </c>
    </row>
    <row r="235" spans="1:14" x14ac:dyDescent="0.15">
      <c r="A235" s="3">
        <f t="shared" si="33"/>
        <v>42966</v>
      </c>
      <c r="B235" s="6">
        <f>F234</f>
        <v>1978610.5419824836</v>
      </c>
      <c r="C235">
        <f t="shared" si="27"/>
        <v>252.05479452054792</v>
      </c>
      <c r="D235" s="6">
        <f>B235*$B$8</f>
        <v>431.02136514962331</v>
      </c>
      <c r="E235" s="6">
        <f>D235-C235</f>
        <v>178.96657062907539</v>
      </c>
      <c r="F235" s="6">
        <f>B235+E235</f>
        <v>1978789.5085531126</v>
      </c>
      <c r="G235" s="13">
        <f t="shared" si="28"/>
        <v>1978789.5085531126</v>
      </c>
      <c r="I235" s="37">
        <f t="shared" si="34"/>
        <v>38789.50855311432</v>
      </c>
      <c r="J235" s="37">
        <f t="shared" si="35"/>
        <v>77884.931506849141</v>
      </c>
      <c r="K235" s="36">
        <f t="shared" si="29"/>
        <v>98.939475427655637</v>
      </c>
      <c r="L235" s="36">
        <f t="shared" si="30"/>
        <v>102.83372200299809</v>
      </c>
      <c r="M235" s="35">
        <f t="shared" si="31"/>
        <v>1978789.5085531129</v>
      </c>
      <c r="N235" s="35">
        <f t="shared" si="32"/>
        <v>2056674.4400599618</v>
      </c>
    </row>
    <row r="236" spans="1:14" x14ac:dyDescent="0.15">
      <c r="A236" s="3">
        <f t="shared" si="33"/>
        <v>42967</v>
      </c>
      <c r="B236" s="6">
        <f>F235</f>
        <v>1978789.5085531126</v>
      </c>
      <c r="C236">
        <f t="shared" si="27"/>
        <v>252.05479452054792</v>
      </c>
      <c r="D236" s="6">
        <f>B236*$B$8</f>
        <v>431.06035130377137</v>
      </c>
      <c r="E236" s="6">
        <f>D236-C236</f>
        <v>179.00555678322345</v>
      </c>
      <c r="F236" s="6">
        <f>B236+E236</f>
        <v>1978968.5141098958</v>
      </c>
      <c r="G236" s="13">
        <f t="shared" si="28"/>
        <v>1978968.5141098958</v>
      </c>
      <c r="I236" s="37">
        <f t="shared" si="34"/>
        <v>38968.514109897544</v>
      </c>
      <c r="J236" s="37">
        <f t="shared" si="35"/>
        <v>78136.986301369689</v>
      </c>
      <c r="K236" s="36">
        <f t="shared" si="29"/>
        <v>98.948425705494785</v>
      </c>
      <c r="L236" s="36">
        <f t="shared" si="30"/>
        <v>102.85527502056327</v>
      </c>
      <c r="M236" s="35">
        <f t="shared" si="31"/>
        <v>1978968.5141098958</v>
      </c>
      <c r="N236" s="35">
        <f t="shared" si="32"/>
        <v>2057105.5004112655</v>
      </c>
    </row>
    <row r="237" spans="1:14" x14ac:dyDescent="0.15">
      <c r="A237" s="3">
        <f t="shared" si="33"/>
        <v>42968</v>
      </c>
      <c r="B237" s="6">
        <f>F236</f>
        <v>1978968.5141098958</v>
      </c>
      <c r="C237">
        <f t="shared" si="27"/>
        <v>252.05479452054792</v>
      </c>
      <c r="D237" s="6">
        <f>B237*$B$8</f>
        <v>431.09934595067989</v>
      </c>
      <c r="E237" s="6">
        <f>D237-C237</f>
        <v>179.04455143013197</v>
      </c>
      <c r="F237" s="6">
        <f>B237+E237</f>
        <v>1979147.5586613258</v>
      </c>
      <c r="G237" s="13">
        <f t="shared" si="28"/>
        <v>1979147.5586613258</v>
      </c>
      <c r="I237" s="37">
        <f t="shared" si="34"/>
        <v>39147.558661327676</v>
      </c>
      <c r="J237" s="37">
        <f t="shared" si="35"/>
        <v>78389.041095890236</v>
      </c>
      <c r="K237" s="36">
        <f t="shared" si="29"/>
        <v>98.957377933066297</v>
      </c>
      <c r="L237" s="36">
        <f t="shared" si="30"/>
        <v>102.87682998786082</v>
      </c>
      <c r="M237" s="35">
        <f t="shared" si="31"/>
        <v>1979147.5586613258</v>
      </c>
      <c r="N237" s="35">
        <f t="shared" si="32"/>
        <v>2057536.5997572162</v>
      </c>
    </row>
    <row r="238" spans="1:14" x14ac:dyDescent="0.15">
      <c r="A238" s="3">
        <f t="shared" si="33"/>
        <v>42969</v>
      </c>
      <c r="B238" s="6">
        <f>F237</f>
        <v>1979147.5586613258</v>
      </c>
      <c r="C238">
        <f t="shared" si="27"/>
        <v>252.05479452054792</v>
      </c>
      <c r="D238" s="6">
        <f>B238*$B$8</f>
        <v>431.13834909219889</v>
      </c>
      <c r="E238" s="6">
        <f>D238-C238</f>
        <v>179.08355457165098</v>
      </c>
      <c r="F238" s="6">
        <f>B238+E238</f>
        <v>1979326.6422158976</v>
      </c>
      <c r="G238" s="13">
        <f t="shared" si="28"/>
        <v>1979326.6422158973</v>
      </c>
      <c r="I238" s="37">
        <f t="shared" si="34"/>
        <v>39326.64221589933</v>
      </c>
      <c r="J238" s="37">
        <f t="shared" si="35"/>
        <v>78641.095890410783</v>
      </c>
      <c r="K238" s="36">
        <f t="shared" si="29"/>
        <v>98.966332110794866</v>
      </c>
      <c r="L238" s="36">
        <f t="shared" si="30"/>
        <v>102.89838690531541</v>
      </c>
      <c r="M238" s="35">
        <f t="shared" si="31"/>
        <v>1979326.6422158973</v>
      </c>
      <c r="N238" s="35">
        <f t="shared" si="32"/>
        <v>2057967.738106308</v>
      </c>
    </row>
    <row r="239" spans="1:14" x14ac:dyDescent="0.15">
      <c r="A239" s="3">
        <f t="shared" si="33"/>
        <v>42970</v>
      </c>
      <c r="B239" s="6">
        <f>F238</f>
        <v>1979326.6422158976</v>
      </c>
      <c r="C239">
        <f t="shared" si="27"/>
        <v>252.05479452054792</v>
      </c>
      <c r="D239" s="6">
        <f>B239*$B$8</f>
        <v>431.17736073017898</v>
      </c>
      <c r="E239" s="6">
        <f>D239-C239</f>
        <v>179.12256620963106</v>
      </c>
      <c r="F239" s="6">
        <f>B239+E239</f>
        <v>1979505.7647821072</v>
      </c>
      <c r="G239" s="13">
        <f t="shared" si="28"/>
        <v>1979505.7647821072</v>
      </c>
      <c r="I239" s="37">
        <f t="shared" si="34"/>
        <v>39505.764782108963</v>
      </c>
      <c r="J239" s="37">
        <f t="shared" si="35"/>
        <v>78893.15068493133</v>
      </c>
      <c r="K239" s="36">
        <f t="shared" si="29"/>
        <v>98.975288239105367</v>
      </c>
      <c r="L239" s="36">
        <f t="shared" si="30"/>
        <v>102.91994577335194</v>
      </c>
      <c r="M239" s="35">
        <f t="shared" si="31"/>
        <v>1979505.7647821074</v>
      </c>
      <c r="N239" s="35">
        <f t="shared" si="32"/>
        <v>2058398.9154670388</v>
      </c>
    </row>
    <row r="240" spans="1:14" x14ac:dyDescent="0.15">
      <c r="A240" s="3">
        <f t="shared" si="33"/>
        <v>42971</v>
      </c>
      <c r="B240" s="6">
        <f>F239</f>
        <v>1979505.7647821072</v>
      </c>
      <c r="C240">
        <f t="shared" si="27"/>
        <v>252.05479452054792</v>
      </c>
      <c r="D240" s="6">
        <f>B240*$B$8</f>
        <v>431.2163808664709</v>
      </c>
      <c r="E240" s="6">
        <f>D240-C240</f>
        <v>179.16158634592298</v>
      </c>
      <c r="F240" s="6">
        <f>B240+E240</f>
        <v>1979684.9263684531</v>
      </c>
      <c r="G240" s="13">
        <f t="shared" si="28"/>
        <v>1979684.9263684531</v>
      </c>
      <c r="I240" s="37">
        <f t="shared" si="34"/>
        <v>39684.926368454886</v>
      </c>
      <c r="J240" s="37">
        <f t="shared" si="35"/>
        <v>79145.205479451877</v>
      </c>
      <c r="K240" s="36">
        <f t="shared" si="29"/>
        <v>98.984246318422649</v>
      </c>
      <c r="L240" s="36">
        <f t="shared" si="30"/>
        <v>102.94150659239524</v>
      </c>
      <c r="M240" s="35">
        <f t="shared" si="31"/>
        <v>1979684.9263684528</v>
      </c>
      <c r="N240" s="35">
        <f t="shared" si="32"/>
        <v>2058830.131847905</v>
      </c>
    </row>
    <row r="241" spans="1:14" x14ac:dyDescent="0.15">
      <c r="A241" s="3">
        <f t="shared" si="33"/>
        <v>42972</v>
      </c>
      <c r="B241" s="6">
        <f>F240</f>
        <v>1979684.9263684531</v>
      </c>
      <c r="C241">
        <f t="shared" si="27"/>
        <v>252.05479452054792</v>
      </c>
      <c r="D241" s="6">
        <f>B241*$B$8</f>
        <v>431.25540950292594</v>
      </c>
      <c r="E241" s="6">
        <f>D241-C241</f>
        <v>179.20061498237803</v>
      </c>
      <c r="F241" s="6">
        <f>B241+E241</f>
        <v>1979864.1269834354</v>
      </c>
      <c r="G241" s="13">
        <f t="shared" si="28"/>
        <v>1979864.1269834354</v>
      </c>
      <c r="I241" s="37">
        <f t="shared" si="34"/>
        <v>39864.126983437265</v>
      </c>
      <c r="J241" s="37">
        <f t="shared" si="35"/>
        <v>79397.260273972424</v>
      </c>
      <c r="K241" s="36">
        <f t="shared" si="29"/>
        <v>98.993206349171771</v>
      </c>
      <c r="L241" s="36">
        <f t="shared" si="30"/>
        <v>102.96306936287039</v>
      </c>
      <c r="M241" s="35">
        <f t="shared" si="31"/>
        <v>1979864.1269834354</v>
      </c>
      <c r="N241" s="35">
        <f t="shared" si="32"/>
        <v>2059261.3872574077</v>
      </c>
    </row>
    <row r="242" spans="1:14" x14ac:dyDescent="0.15">
      <c r="A242" s="3">
        <f t="shared" si="33"/>
        <v>42973</v>
      </c>
      <c r="B242" s="6">
        <f>F241</f>
        <v>1979864.1269834354</v>
      </c>
      <c r="C242">
        <f t="shared" si="27"/>
        <v>252.05479452054792</v>
      </c>
      <c r="D242" s="6">
        <f>B242*$B$8</f>
        <v>431.29444664139578</v>
      </c>
      <c r="E242" s="6">
        <f>D242-C242</f>
        <v>179.23965212084786</v>
      </c>
      <c r="F242" s="6">
        <f>B242+E242</f>
        <v>1980043.3666355561</v>
      </c>
      <c r="G242" s="13">
        <f t="shared" si="28"/>
        <v>1980043.3666355561</v>
      </c>
      <c r="I242" s="37">
        <f t="shared" si="34"/>
        <v>40043.366635558115</v>
      </c>
      <c r="J242" s="37">
        <f t="shared" si="35"/>
        <v>79649.315068492971</v>
      </c>
      <c r="K242" s="36">
        <f t="shared" si="29"/>
        <v>99.00216833177781</v>
      </c>
      <c r="L242" s="36">
        <f t="shared" si="30"/>
        <v>102.98463408520246</v>
      </c>
      <c r="M242" s="35">
        <f t="shared" si="31"/>
        <v>1980043.3666355563</v>
      </c>
      <c r="N242" s="35">
        <f t="shared" si="32"/>
        <v>2059692.681704049</v>
      </c>
    </row>
    <row r="243" spans="1:14" x14ac:dyDescent="0.15">
      <c r="A243" s="3">
        <f t="shared" si="33"/>
        <v>42974</v>
      </c>
      <c r="B243" s="6">
        <f>F242</f>
        <v>1980043.3666355561</v>
      </c>
      <c r="C243">
        <f t="shared" si="27"/>
        <v>252.05479452054792</v>
      </c>
      <c r="D243" s="6">
        <f>B243*$B$8</f>
        <v>431.3334922837326</v>
      </c>
      <c r="E243" s="6">
        <f>D243-C243</f>
        <v>179.27869776318468</v>
      </c>
      <c r="F243" s="6">
        <f>B243+E243</f>
        <v>1980222.6453333192</v>
      </c>
      <c r="G243" s="13">
        <f t="shared" si="28"/>
        <v>1980222.6453333192</v>
      </c>
      <c r="I243" s="37">
        <f t="shared" si="34"/>
        <v>40222.645333321299</v>
      </c>
      <c r="J243" s="37">
        <f t="shared" si="35"/>
        <v>79901.369863013519</v>
      </c>
      <c r="K243" s="36">
        <f t="shared" si="29"/>
        <v>99.011132266665953</v>
      </c>
      <c r="L243" s="36">
        <f t="shared" si="30"/>
        <v>103.00620075981664</v>
      </c>
      <c r="M243" s="35">
        <f t="shared" si="31"/>
        <v>1980222.645333319</v>
      </c>
      <c r="N243" s="35">
        <f t="shared" si="32"/>
        <v>2060124.0151963327</v>
      </c>
    </row>
    <row r="244" spans="1:14" x14ac:dyDescent="0.15">
      <c r="A244" s="3">
        <f t="shared" si="33"/>
        <v>42975</v>
      </c>
      <c r="B244" s="6">
        <f>F243</f>
        <v>1980222.6453333192</v>
      </c>
      <c r="C244">
        <f t="shared" si="27"/>
        <v>252.05479452054792</v>
      </c>
      <c r="D244" s="6">
        <f>B244*$B$8</f>
        <v>431.37254643178875</v>
      </c>
      <c r="E244" s="6">
        <f>D244-C244</f>
        <v>179.31775191124083</v>
      </c>
      <c r="F244" s="6">
        <f>B244+E244</f>
        <v>1980401.9630852304</v>
      </c>
      <c r="G244" s="13">
        <f t="shared" si="28"/>
        <v>1980401.9630852304</v>
      </c>
      <c r="I244" s="37">
        <f t="shared" si="34"/>
        <v>40401.963085232543</v>
      </c>
      <c r="J244" s="37">
        <f t="shared" si="35"/>
        <v>80153.424657534066</v>
      </c>
      <c r="K244" s="36">
        <f t="shared" si="29"/>
        <v>99.020098154261532</v>
      </c>
      <c r="L244" s="36">
        <f t="shared" si="30"/>
        <v>103.02776938713824</v>
      </c>
      <c r="M244" s="35">
        <f t="shared" si="31"/>
        <v>1980401.9630852307</v>
      </c>
      <c r="N244" s="35">
        <f t="shared" si="32"/>
        <v>2060555.3877427645</v>
      </c>
    </row>
    <row r="245" spans="1:14" x14ac:dyDescent="0.15">
      <c r="A245" s="3">
        <f t="shared" si="33"/>
        <v>42976</v>
      </c>
      <c r="B245" s="6">
        <f>F244</f>
        <v>1980401.9630852304</v>
      </c>
      <c r="C245">
        <f t="shared" si="27"/>
        <v>252.05479452054792</v>
      </c>
      <c r="D245" s="6">
        <f>B245*$B$8</f>
        <v>431.41160908741722</v>
      </c>
      <c r="E245" s="6">
        <f>D245-C245</f>
        <v>179.3568145668693</v>
      </c>
      <c r="F245" s="6">
        <f>B245+E245</f>
        <v>1980581.3198997972</v>
      </c>
      <c r="G245" s="13">
        <f t="shared" si="28"/>
        <v>1980581.3198997972</v>
      </c>
      <c r="I245" s="37">
        <f t="shared" si="34"/>
        <v>40581.319899799411</v>
      </c>
      <c r="J245" s="37">
        <f t="shared" si="35"/>
        <v>80405.479452054613</v>
      </c>
      <c r="K245" s="36">
        <f t="shared" si="29"/>
        <v>99.029065994989864</v>
      </c>
      <c r="L245" s="36">
        <f t="shared" si="30"/>
        <v>103.0493399675926</v>
      </c>
      <c r="M245" s="35">
        <f t="shared" si="31"/>
        <v>1980581.3198997972</v>
      </c>
      <c r="N245" s="35">
        <f t="shared" si="32"/>
        <v>2060986.7993518519</v>
      </c>
    </row>
    <row r="246" spans="1:14" x14ac:dyDescent="0.15">
      <c r="A246" s="3">
        <f t="shared" si="33"/>
        <v>42977</v>
      </c>
      <c r="B246" s="6">
        <f>F245</f>
        <v>1980581.3198997972</v>
      </c>
      <c r="C246">
        <f t="shared" si="27"/>
        <v>252.05479452054792</v>
      </c>
      <c r="D246" s="6">
        <f>B246*$B$8</f>
        <v>431.45068025247127</v>
      </c>
      <c r="E246" s="6">
        <f>D246-C246</f>
        <v>179.39588573192336</v>
      </c>
      <c r="F246" s="6">
        <f>B246+E246</f>
        <v>1980760.7157855292</v>
      </c>
      <c r="G246" s="13">
        <f t="shared" si="28"/>
        <v>1980760.715785529</v>
      </c>
      <c r="I246" s="37">
        <f t="shared" si="34"/>
        <v>40760.715785531334</v>
      </c>
      <c r="J246" s="37">
        <f t="shared" si="35"/>
        <v>80657.53424657516</v>
      </c>
      <c r="K246" s="36">
        <f t="shared" si="29"/>
        <v>99.038035789276449</v>
      </c>
      <c r="L246" s="36">
        <f t="shared" si="30"/>
        <v>103.07091250160521</v>
      </c>
      <c r="M246" s="35">
        <f t="shared" si="31"/>
        <v>1980760.715785529</v>
      </c>
      <c r="N246" s="35">
        <f t="shared" si="32"/>
        <v>2061418.2500321043</v>
      </c>
    </row>
    <row r="247" spans="1:14" x14ac:dyDescent="0.15">
      <c r="A247" s="3">
        <f t="shared" si="33"/>
        <v>42978</v>
      </c>
      <c r="B247" s="6">
        <f>F246</f>
        <v>1980760.7157855292</v>
      </c>
      <c r="C247">
        <f t="shared" si="27"/>
        <v>252.05479452054792</v>
      </c>
      <c r="D247" s="6">
        <f>B247*$B$8</f>
        <v>431.48975992880463</v>
      </c>
      <c r="E247" s="6">
        <f>D247-C247</f>
        <v>179.43496540825672</v>
      </c>
      <c r="F247" s="6">
        <f>B247+E247</f>
        <v>1980940.1507509374</v>
      </c>
      <c r="G247" s="13">
        <f t="shared" si="28"/>
        <v>1980940.1507509374</v>
      </c>
      <c r="I247" s="37">
        <f t="shared" si="34"/>
        <v>40940.150750939589</v>
      </c>
      <c r="J247" s="37">
        <f t="shared" si="35"/>
        <v>80909.589041095707</v>
      </c>
      <c r="K247" s="36">
        <f t="shared" si="29"/>
        <v>99.047007537546875</v>
      </c>
      <c r="L247" s="36">
        <f t="shared" si="30"/>
        <v>103.09248698960167</v>
      </c>
      <c r="M247" s="35">
        <f t="shared" si="31"/>
        <v>1980940.1507509374</v>
      </c>
      <c r="N247" s="35">
        <f t="shared" si="32"/>
        <v>2061849.7397920333</v>
      </c>
    </row>
    <row r="248" spans="1:14" x14ac:dyDescent="0.15">
      <c r="A248" s="3">
        <f t="shared" si="33"/>
        <v>42979</v>
      </c>
      <c r="B248" s="6">
        <f>F247</f>
        <v>1980940.1507509374</v>
      </c>
      <c r="C248">
        <f t="shared" si="27"/>
        <v>252.05479452054792</v>
      </c>
      <c r="D248" s="6">
        <f>B248*$B$8</f>
        <v>431.5288481182713</v>
      </c>
      <c r="E248" s="6">
        <f>D248-C248</f>
        <v>179.47405359772338</v>
      </c>
      <c r="F248" s="6">
        <f>B248+E248</f>
        <v>1981119.6248045352</v>
      </c>
      <c r="G248" s="13">
        <f t="shared" si="28"/>
        <v>1981119.6248045352</v>
      </c>
      <c r="I248" s="37">
        <f t="shared" si="34"/>
        <v>41119.624804537314</v>
      </c>
      <c r="J248" s="37">
        <f t="shared" si="35"/>
        <v>81161.643835616254</v>
      </c>
      <c r="K248" s="36">
        <f t="shared" si="29"/>
        <v>99.055981240226757</v>
      </c>
      <c r="L248" s="36">
        <f t="shared" si="30"/>
        <v>103.11406343200757</v>
      </c>
      <c r="M248" s="35">
        <f t="shared" si="31"/>
        <v>1981119.6248045352</v>
      </c>
      <c r="N248" s="35">
        <f t="shared" si="32"/>
        <v>2062281.2686401512</v>
      </c>
    </row>
    <row r="249" spans="1:14" x14ac:dyDescent="0.15">
      <c r="A249" s="3">
        <f t="shared" si="33"/>
        <v>42980</v>
      </c>
      <c r="B249" s="6">
        <f>F248</f>
        <v>1981119.6248045352</v>
      </c>
      <c r="C249">
        <f t="shared" si="27"/>
        <v>252.05479452054792</v>
      </c>
      <c r="D249" s="6">
        <f>B249*$B$8</f>
        <v>431.56794482272591</v>
      </c>
      <c r="E249" s="6">
        <f>D249-C249</f>
        <v>179.51315030217799</v>
      </c>
      <c r="F249" s="6">
        <f>B249+E249</f>
        <v>1981299.1379548374</v>
      </c>
      <c r="G249" s="13">
        <f t="shared" si="28"/>
        <v>1981299.1379548374</v>
      </c>
      <c r="I249" s="37">
        <f t="shared" si="34"/>
        <v>41299.137954839491</v>
      </c>
      <c r="J249" s="37">
        <f t="shared" si="35"/>
        <v>81413.698630136802</v>
      </c>
      <c r="K249" s="36">
        <f t="shared" si="29"/>
        <v>99.06495689774188</v>
      </c>
      <c r="L249" s="36">
        <f t="shared" si="30"/>
        <v>103.13564182924873</v>
      </c>
      <c r="M249" s="35">
        <f t="shared" si="31"/>
        <v>1981299.1379548376</v>
      </c>
      <c r="N249" s="35">
        <f t="shared" si="32"/>
        <v>2062712.8365849745</v>
      </c>
    </row>
    <row r="250" spans="1:14" x14ac:dyDescent="0.15">
      <c r="A250" s="3">
        <f t="shared" si="33"/>
        <v>42981</v>
      </c>
      <c r="B250" s="6">
        <f>F249</f>
        <v>1981299.1379548374</v>
      </c>
      <c r="C250">
        <f t="shared" si="27"/>
        <v>252.05479452054792</v>
      </c>
      <c r="D250" s="6">
        <f>B250*$B$8</f>
        <v>431.60705004402331</v>
      </c>
      <c r="E250" s="6">
        <f>D250-C250</f>
        <v>179.5522555234754</v>
      </c>
      <c r="F250" s="6">
        <f>B250+E250</f>
        <v>1981478.6902103608</v>
      </c>
      <c r="G250" s="13">
        <f t="shared" si="28"/>
        <v>1981478.6902103608</v>
      </c>
      <c r="I250" s="37">
        <f t="shared" si="34"/>
        <v>41478.690210362969</v>
      </c>
      <c r="J250" s="37">
        <f t="shared" si="35"/>
        <v>81665.753424657349</v>
      </c>
      <c r="K250" s="36">
        <f t="shared" si="29"/>
        <v>99.073934510518029</v>
      </c>
      <c r="L250" s="36">
        <f t="shared" si="30"/>
        <v>103.1572221817509</v>
      </c>
      <c r="M250" s="35">
        <f t="shared" si="31"/>
        <v>1981478.6902103606</v>
      </c>
      <c r="N250" s="35">
        <f t="shared" si="32"/>
        <v>2063144.4436350178</v>
      </c>
    </row>
    <row r="251" spans="1:14" x14ac:dyDescent="0.15">
      <c r="A251" s="3">
        <f t="shared" si="33"/>
        <v>42982</v>
      </c>
      <c r="B251" s="6">
        <f>F250</f>
        <v>1981478.6902103608</v>
      </c>
      <c r="C251">
        <f t="shared" si="27"/>
        <v>252.05479452054792</v>
      </c>
      <c r="D251" s="6">
        <f>B251*$B$8</f>
        <v>431.64616378401877</v>
      </c>
      <c r="E251" s="6">
        <f>D251-C251</f>
        <v>179.59136926347085</v>
      </c>
      <c r="F251" s="6">
        <f>B251+E251</f>
        <v>1981658.2815796242</v>
      </c>
      <c r="G251" s="13">
        <f t="shared" si="28"/>
        <v>1981658.2815796242</v>
      </c>
      <c r="I251" s="37">
        <f t="shared" si="34"/>
        <v>41658.28157962644</v>
      </c>
      <c r="J251" s="37">
        <f t="shared" si="35"/>
        <v>81917.808219177896</v>
      </c>
      <c r="K251" s="36">
        <f t="shared" si="29"/>
        <v>99.082914078981204</v>
      </c>
      <c r="L251" s="36">
        <f t="shared" si="30"/>
        <v>103.17880448994009</v>
      </c>
      <c r="M251" s="35">
        <f t="shared" si="31"/>
        <v>1981658.2815796242</v>
      </c>
      <c r="N251" s="35">
        <f t="shared" si="32"/>
        <v>2063576.0897988018</v>
      </c>
    </row>
    <row r="252" spans="1:14" x14ac:dyDescent="0.15">
      <c r="A252" s="3">
        <f t="shared" si="33"/>
        <v>42983</v>
      </c>
      <c r="B252" s="6">
        <f>F251</f>
        <v>1981658.2815796242</v>
      </c>
      <c r="C252">
        <f t="shared" si="27"/>
        <v>252.05479452054792</v>
      </c>
      <c r="D252" s="6">
        <f>B252*$B$8</f>
        <v>431.68528604456804</v>
      </c>
      <c r="E252" s="6">
        <f>D252-C252</f>
        <v>179.63049152402013</v>
      </c>
      <c r="F252" s="6">
        <f>B252+E252</f>
        <v>1981837.9120711482</v>
      </c>
      <c r="G252" s="13">
        <f t="shared" si="28"/>
        <v>1981837.9120711482</v>
      </c>
      <c r="I252" s="37">
        <f t="shared" si="34"/>
        <v>41837.912071150458</v>
      </c>
      <c r="J252" s="37">
        <f t="shared" si="35"/>
        <v>82169.863013698443</v>
      </c>
      <c r="K252" s="36">
        <f t="shared" si="29"/>
        <v>99.091895603557418</v>
      </c>
      <c r="L252" s="36">
        <f t="shared" si="30"/>
        <v>103.20038875424234</v>
      </c>
      <c r="M252" s="35">
        <f t="shared" si="31"/>
        <v>1981837.9120711484</v>
      </c>
      <c r="N252" s="35">
        <f t="shared" si="32"/>
        <v>2064007.7750848469</v>
      </c>
    </row>
    <row r="253" spans="1:14" x14ac:dyDescent="0.15">
      <c r="A253" s="3">
        <f t="shared" si="33"/>
        <v>42984</v>
      </c>
      <c r="B253" s="6">
        <f>F252</f>
        <v>1981837.9120711482</v>
      </c>
      <c r="C253">
        <f t="shared" si="27"/>
        <v>252.05479452054792</v>
      </c>
      <c r="D253" s="6">
        <f>B253*$B$8</f>
        <v>431.72441682752731</v>
      </c>
      <c r="E253" s="6">
        <f>D253-C253</f>
        <v>179.66962230697939</v>
      </c>
      <c r="F253" s="6">
        <f>B253+E253</f>
        <v>1982017.5816934551</v>
      </c>
      <c r="G253" s="13">
        <f t="shared" si="28"/>
        <v>1982017.5816934551</v>
      </c>
      <c r="I253" s="37">
        <f t="shared" si="34"/>
        <v>42017.58169345744</v>
      </c>
      <c r="J253" s="37">
        <f t="shared" si="35"/>
        <v>82421.91780821899</v>
      </c>
      <c r="K253" s="36">
        <f t="shared" si="29"/>
        <v>99.100879084672755</v>
      </c>
      <c r="L253" s="36">
        <f t="shared" si="30"/>
        <v>103.22197497508371</v>
      </c>
      <c r="M253" s="35">
        <f t="shared" si="31"/>
        <v>1982017.5816934549</v>
      </c>
      <c r="N253" s="35">
        <f t="shared" si="32"/>
        <v>2064439.4995016742</v>
      </c>
    </row>
    <row r="254" spans="1:14" x14ac:dyDescent="0.15">
      <c r="A254" s="3">
        <f t="shared" si="33"/>
        <v>42985</v>
      </c>
      <c r="B254" s="6">
        <f>F253</f>
        <v>1982017.5816934551</v>
      </c>
      <c r="C254">
        <f t="shared" si="27"/>
        <v>252.05479452054792</v>
      </c>
      <c r="D254" s="6">
        <f>B254*$B$8</f>
        <v>431.763556134753</v>
      </c>
      <c r="E254" s="6">
        <f>D254-C254</f>
        <v>179.70876161420509</v>
      </c>
      <c r="F254" s="6">
        <f>B254+E254</f>
        <v>1982197.2904550694</v>
      </c>
      <c r="G254" s="13">
        <f t="shared" si="28"/>
        <v>1982197.2904550692</v>
      </c>
      <c r="I254" s="37">
        <f t="shared" si="34"/>
        <v>42197.290455071641</v>
      </c>
      <c r="J254" s="37">
        <f t="shared" si="35"/>
        <v>82673.972602739537</v>
      </c>
      <c r="K254" s="36">
        <f t="shared" si="29"/>
        <v>99.109864522753455</v>
      </c>
      <c r="L254" s="36">
        <f t="shared" si="30"/>
        <v>103.24356315289043</v>
      </c>
      <c r="M254" s="35">
        <f t="shared" si="31"/>
        <v>1982197.2904550689</v>
      </c>
      <c r="N254" s="35">
        <f t="shared" si="32"/>
        <v>2064871.2630578086</v>
      </c>
    </row>
    <row r="255" spans="1:14" x14ac:dyDescent="0.15">
      <c r="A255" s="3">
        <f t="shared" si="33"/>
        <v>42986</v>
      </c>
      <c r="B255" s="6">
        <f>F254</f>
        <v>1982197.2904550694</v>
      </c>
      <c r="C255">
        <f t="shared" si="27"/>
        <v>252.05479452054792</v>
      </c>
      <c r="D255" s="6">
        <f>B255*$B$8</f>
        <v>431.80270396810209</v>
      </c>
      <c r="E255" s="6">
        <f>D255-C255</f>
        <v>179.74790944755418</v>
      </c>
      <c r="F255" s="6">
        <f>B255+E255</f>
        <v>1982377.038364517</v>
      </c>
      <c r="G255" s="13">
        <f t="shared" si="28"/>
        <v>1982377.0383645168</v>
      </c>
      <c r="I255" s="37">
        <f t="shared" si="34"/>
        <v>42377.038364519198</v>
      </c>
      <c r="J255" s="37">
        <f t="shared" si="35"/>
        <v>82926.027397260084</v>
      </c>
      <c r="K255" s="36">
        <f t="shared" si="29"/>
        <v>99.118851918225843</v>
      </c>
      <c r="L255" s="36">
        <f t="shared" si="30"/>
        <v>103.26515328808885</v>
      </c>
      <c r="M255" s="35">
        <f t="shared" si="31"/>
        <v>1982377.0383645168</v>
      </c>
      <c r="N255" s="35">
        <f t="shared" si="32"/>
        <v>2065303.0657617771</v>
      </c>
    </row>
    <row r="256" spans="1:14" x14ac:dyDescent="0.15">
      <c r="A256" s="3">
        <f t="shared" si="33"/>
        <v>42987</v>
      </c>
      <c r="B256" s="6">
        <f>F255</f>
        <v>1982377.038364517</v>
      </c>
      <c r="C256">
        <f t="shared" si="27"/>
        <v>252.05479452054792</v>
      </c>
      <c r="D256" s="6">
        <f>B256*$B$8</f>
        <v>431.84186032943194</v>
      </c>
      <c r="E256" s="6">
        <f>D256-C256</f>
        <v>179.78706580888402</v>
      </c>
      <c r="F256" s="6">
        <f>B256+E256</f>
        <v>1982556.8254303259</v>
      </c>
      <c r="G256" s="13">
        <f t="shared" si="28"/>
        <v>1982556.8254303259</v>
      </c>
      <c r="I256" s="37">
        <f t="shared" si="34"/>
        <v>42556.825430328085</v>
      </c>
      <c r="J256" s="37">
        <f t="shared" si="35"/>
        <v>83178.082191780632</v>
      </c>
      <c r="K256" s="36">
        <f t="shared" si="29"/>
        <v>99.127841271516289</v>
      </c>
      <c r="L256" s="36">
        <f t="shared" si="30"/>
        <v>103.28674538110532</v>
      </c>
      <c r="M256" s="35">
        <f t="shared" si="31"/>
        <v>1982556.8254303259</v>
      </c>
      <c r="N256" s="35">
        <f t="shared" si="32"/>
        <v>2065734.9076221064</v>
      </c>
    </row>
    <row r="257" spans="1:14" x14ac:dyDescent="0.15">
      <c r="A257" s="3">
        <f t="shared" si="33"/>
        <v>42988</v>
      </c>
      <c r="B257" s="6">
        <f>F256</f>
        <v>1982556.8254303259</v>
      </c>
      <c r="C257">
        <f t="shared" si="27"/>
        <v>252.05479452054792</v>
      </c>
      <c r="D257" s="6">
        <f>B257*$B$8</f>
        <v>431.88102522060024</v>
      </c>
      <c r="E257" s="6">
        <f>D257-C257</f>
        <v>179.82623070005232</v>
      </c>
      <c r="F257" s="6">
        <f>B257+E257</f>
        <v>1982736.6516610261</v>
      </c>
      <c r="G257" s="13">
        <f t="shared" si="28"/>
        <v>1982736.6516610258</v>
      </c>
      <c r="I257" s="37">
        <f t="shared" si="34"/>
        <v>42736.65166102814</v>
      </c>
      <c r="J257" s="37">
        <f t="shared" si="35"/>
        <v>83430.136986301179</v>
      </c>
      <c r="K257" s="36">
        <f t="shared" si="29"/>
        <v>99.136832583051287</v>
      </c>
      <c r="L257" s="36">
        <f t="shared" si="30"/>
        <v>103.30833943236635</v>
      </c>
      <c r="M257" s="35">
        <f t="shared" si="31"/>
        <v>1982736.6516610258</v>
      </c>
      <c r="N257" s="35">
        <f t="shared" si="32"/>
        <v>2066166.7886473271</v>
      </c>
    </row>
    <row r="258" spans="1:14" x14ac:dyDescent="0.15">
      <c r="A258" s="3">
        <f t="shared" si="33"/>
        <v>42989</v>
      </c>
      <c r="B258" s="6">
        <f>F257</f>
        <v>1982736.6516610261</v>
      </c>
      <c r="C258">
        <f t="shared" si="27"/>
        <v>252.05479452054792</v>
      </c>
      <c r="D258" s="6">
        <f>B258*$B$8</f>
        <v>431.9201986434652</v>
      </c>
      <c r="E258" s="6">
        <f>D258-C258</f>
        <v>179.86540412291728</v>
      </c>
      <c r="F258" s="6">
        <f>B258+E258</f>
        <v>1982916.517065149</v>
      </c>
      <c r="G258" s="13">
        <f t="shared" si="28"/>
        <v>1982916.517065149</v>
      </c>
      <c r="I258" s="37">
        <f t="shared" si="34"/>
        <v>42916.517065151056</v>
      </c>
      <c r="J258" s="37">
        <f t="shared" si="35"/>
        <v>83682.191780821726</v>
      </c>
      <c r="K258" s="36">
        <f t="shared" si="29"/>
        <v>99.145825853257449</v>
      </c>
      <c r="L258" s="36">
        <f t="shared" si="30"/>
        <v>103.32993544229853</v>
      </c>
      <c r="M258" s="35">
        <f t="shared" si="31"/>
        <v>1982916.517065149</v>
      </c>
      <c r="N258" s="35">
        <f t="shared" si="32"/>
        <v>2066598.7088459707</v>
      </c>
    </row>
    <row r="259" spans="1:14" x14ac:dyDescent="0.15">
      <c r="A259" s="3">
        <f t="shared" si="33"/>
        <v>42990</v>
      </c>
      <c r="B259" s="6">
        <f>F258</f>
        <v>1982916.517065149</v>
      </c>
      <c r="C259">
        <f t="shared" si="27"/>
        <v>252.05479452054792</v>
      </c>
      <c r="D259" s="6">
        <f>B259*$B$8</f>
        <v>431.95938059988526</v>
      </c>
      <c r="E259" s="6">
        <f>D259-C259</f>
        <v>179.90458607933735</v>
      </c>
      <c r="F259" s="6">
        <f>B259+E259</f>
        <v>1983096.4216512283</v>
      </c>
      <c r="G259" s="13">
        <f t="shared" si="28"/>
        <v>1983096.4216512283</v>
      </c>
      <c r="I259" s="37">
        <f t="shared" si="34"/>
        <v>43096.42165123039</v>
      </c>
      <c r="J259" s="37">
        <f t="shared" si="35"/>
        <v>83934.246575342273</v>
      </c>
      <c r="K259" s="36">
        <f t="shared" si="29"/>
        <v>99.154821082561412</v>
      </c>
      <c r="L259" s="36">
        <f t="shared" si="30"/>
        <v>103.35153341132853</v>
      </c>
      <c r="M259" s="35">
        <f t="shared" si="31"/>
        <v>1983096.4216512283</v>
      </c>
      <c r="N259" s="35">
        <f t="shared" si="32"/>
        <v>2067030.6682265708</v>
      </c>
    </row>
    <row r="260" spans="1:14" x14ac:dyDescent="0.15">
      <c r="A260" s="3">
        <f t="shared" si="33"/>
        <v>42991</v>
      </c>
      <c r="B260" s="6">
        <f>F259</f>
        <v>1983096.4216512283</v>
      </c>
      <c r="C260">
        <f t="shared" si="27"/>
        <v>252.05479452054792</v>
      </c>
      <c r="D260" s="6">
        <f>B260*$B$8</f>
        <v>431.99857109171944</v>
      </c>
      <c r="E260" s="6">
        <f>D260-C260</f>
        <v>179.94377657117153</v>
      </c>
      <c r="F260" s="6">
        <f>B260+E260</f>
        <v>1983276.3654277995</v>
      </c>
      <c r="G260" s="13">
        <f t="shared" si="28"/>
        <v>1983276.3654277995</v>
      </c>
      <c r="I260" s="37">
        <f t="shared" si="34"/>
        <v>43276.36542780156</v>
      </c>
      <c r="J260" s="37">
        <f t="shared" si="35"/>
        <v>84186.30136986282</v>
      </c>
      <c r="K260" s="36">
        <f t="shared" si="29"/>
        <v>99.163818271389985</v>
      </c>
      <c r="L260" s="36">
        <f t="shared" si="30"/>
        <v>103.37313333988313</v>
      </c>
      <c r="M260" s="35">
        <f t="shared" si="31"/>
        <v>1983276.3654277998</v>
      </c>
      <c r="N260" s="35">
        <f t="shared" si="32"/>
        <v>2067462.6667976624</v>
      </c>
    </row>
    <row r="261" spans="1:14" x14ac:dyDescent="0.15">
      <c r="A261" s="3">
        <f t="shared" si="33"/>
        <v>42992</v>
      </c>
      <c r="B261" s="6">
        <f>F260</f>
        <v>1983276.3654277995</v>
      </c>
      <c r="C261">
        <f t="shared" si="27"/>
        <v>252.05479452054792</v>
      </c>
      <c r="D261" s="6">
        <f>B261*$B$8</f>
        <v>432.03777012082708</v>
      </c>
      <c r="E261" s="6">
        <f>D261-C261</f>
        <v>179.98297560027916</v>
      </c>
      <c r="F261" s="6">
        <f>B261+E261</f>
        <v>1983456.3484033998</v>
      </c>
      <c r="G261" s="13">
        <f t="shared" si="28"/>
        <v>1983456.3484033998</v>
      </c>
      <c r="I261" s="37">
        <f t="shared" si="34"/>
        <v>43456.34840340184</v>
      </c>
      <c r="J261" s="37">
        <f t="shared" si="35"/>
        <v>84438.356164383367</v>
      </c>
      <c r="K261" s="36">
        <f t="shared" si="29"/>
        <v>99.172817420169991</v>
      </c>
      <c r="L261" s="36">
        <f t="shared" si="30"/>
        <v>103.39473522838917</v>
      </c>
      <c r="M261" s="35">
        <f t="shared" si="31"/>
        <v>1983456.3484033998</v>
      </c>
      <c r="N261" s="35">
        <f t="shared" si="32"/>
        <v>2067894.7045677833</v>
      </c>
    </row>
    <row r="262" spans="1:14" x14ac:dyDescent="0.15">
      <c r="A262" s="3">
        <f t="shared" si="33"/>
        <v>42993</v>
      </c>
      <c r="B262" s="6">
        <f>F261</f>
        <v>1983456.3484033998</v>
      </c>
      <c r="C262">
        <f t="shared" si="27"/>
        <v>252.05479452054792</v>
      </c>
      <c r="D262" s="6">
        <f>B262*$B$8</f>
        <v>432.07697768906797</v>
      </c>
      <c r="E262" s="6">
        <f>D262-C262</f>
        <v>180.02218316852006</v>
      </c>
      <c r="F262" s="6">
        <f>B262+E262</f>
        <v>1983636.3705865683</v>
      </c>
      <c r="G262" s="13">
        <f t="shared" si="28"/>
        <v>1983636.3705865683</v>
      </c>
      <c r="I262" s="37">
        <f t="shared" si="34"/>
        <v>43636.37058657036</v>
      </c>
      <c r="J262" s="37">
        <f t="shared" si="35"/>
        <v>84690.410958903914</v>
      </c>
      <c r="K262" s="36">
        <f t="shared" si="29"/>
        <v>99.18181852932841</v>
      </c>
      <c r="L262" s="36">
        <f t="shared" si="30"/>
        <v>103.41633907727361</v>
      </c>
      <c r="M262" s="35">
        <f t="shared" si="31"/>
        <v>1983636.370586568</v>
      </c>
      <c r="N262" s="35">
        <f t="shared" si="32"/>
        <v>2068326.7815454721</v>
      </c>
    </row>
    <row r="263" spans="1:14" x14ac:dyDescent="0.15">
      <c r="A263" s="3">
        <f t="shared" si="33"/>
        <v>42994</v>
      </c>
      <c r="B263" s="6">
        <f>F262</f>
        <v>1983636.3705865683</v>
      </c>
      <c r="C263">
        <f t="shared" si="27"/>
        <v>252.05479452054792</v>
      </c>
      <c r="D263" s="6">
        <f>B263*$B$8</f>
        <v>432.11619379830228</v>
      </c>
      <c r="E263" s="6">
        <f>D263-C263</f>
        <v>180.06139927775436</v>
      </c>
      <c r="F263" s="6">
        <f>B263+E263</f>
        <v>1983816.431985846</v>
      </c>
      <c r="G263" s="13">
        <f t="shared" si="28"/>
        <v>1983816.431985846</v>
      </c>
      <c r="I263" s="37">
        <f t="shared" si="34"/>
        <v>43816.43198584811</v>
      </c>
      <c r="J263" s="37">
        <f t="shared" si="35"/>
        <v>84942.465753424462</v>
      </c>
      <c r="K263" s="36">
        <f t="shared" si="29"/>
        <v>99.190821599292306</v>
      </c>
      <c r="L263" s="36">
        <f t="shared" si="30"/>
        <v>103.43794488696354</v>
      </c>
      <c r="M263" s="35">
        <f t="shared" si="31"/>
        <v>1983816.4319858463</v>
      </c>
      <c r="N263" s="35">
        <f t="shared" si="32"/>
        <v>2068758.8977392707</v>
      </c>
    </row>
    <row r="264" spans="1:14" x14ac:dyDescent="0.15">
      <c r="A264" s="3">
        <f t="shared" si="33"/>
        <v>42995</v>
      </c>
      <c r="B264" s="6">
        <f>F263</f>
        <v>1983816.431985846</v>
      </c>
      <c r="C264">
        <f t="shared" si="27"/>
        <v>252.05479452054792</v>
      </c>
      <c r="D264" s="6">
        <f>B264*$B$8</f>
        <v>432.15541845039053</v>
      </c>
      <c r="E264" s="6">
        <f>D264-C264</f>
        <v>180.10062392984261</v>
      </c>
      <c r="F264" s="6">
        <f>B264+E264</f>
        <v>1983996.5326097759</v>
      </c>
      <c r="G264" s="13">
        <f t="shared" si="28"/>
        <v>1983996.5326097759</v>
      </c>
      <c r="I264" s="37">
        <f t="shared" si="34"/>
        <v>43996.532609777954</v>
      </c>
      <c r="J264" s="37">
        <f t="shared" si="35"/>
        <v>85194.520547945009</v>
      </c>
      <c r="K264" s="36">
        <f t="shared" si="29"/>
        <v>99.199826630488801</v>
      </c>
      <c r="L264" s="36">
        <f t="shared" si="30"/>
        <v>103.45955265788605</v>
      </c>
      <c r="M264" s="35">
        <f t="shared" si="31"/>
        <v>1983996.5326097759</v>
      </c>
      <c r="N264" s="35">
        <f t="shared" si="32"/>
        <v>2069191.0531577209</v>
      </c>
    </row>
    <row r="265" spans="1:14" x14ac:dyDescent="0.15">
      <c r="A265" s="3">
        <f t="shared" si="33"/>
        <v>42996</v>
      </c>
      <c r="B265" s="6">
        <f>F264</f>
        <v>1983996.5326097759</v>
      </c>
      <c r="C265">
        <f t="shared" si="27"/>
        <v>252.05479452054792</v>
      </c>
      <c r="D265" s="6">
        <f>B265*$B$8</f>
        <v>432.19465164719378</v>
      </c>
      <c r="E265" s="6">
        <f>D265-C265</f>
        <v>180.13985712664586</v>
      </c>
      <c r="F265" s="6">
        <f>B265+E265</f>
        <v>1984176.6724669025</v>
      </c>
      <c r="G265" s="13">
        <f t="shared" si="28"/>
        <v>1984176.6724669025</v>
      </c>
      <c r="I265" s="37">
        <f t="shared" si="34"/>
        <v>44176.672466904602</v>
      </c>
      <c r="J265" s="37">
        <f t="shared" si="35"/>
        <v>85446.575342465556</v>
      </c>
      <c r="K265" s="36">
        <f t="shared" si="29"/>
        <v>99.208833623345129</v>
      </c>
      <c r="L265" s="36">
        <f t="shared" si="30"/>
        <v>103.48116239046841</v>
      </c>
      <c r="M265" s="35">
        <f t="shared" si="31"/>
        <v>1984176.6724669025</v>
      </c>
      <c r="N265" s="35">
        <f t="shared" si="32"/>
        <v>2069623.2478093684</v>
      </c>
    </row>
    <row r="266" spans="1:14" x14ac:dyDescent="0.15">
      <c r="A266" s="3">
        <f t="shared" si="33"/>
        <v>42997</v>
      </c>
      <c r="B266" s="6">
        <f>F265</f>
        <v>1984176.6724669025</v>
      </c>
      <c r="C266">
        <f t="shared" si="27"/>
        <v>252.05479452054792</v>
      </c>
      <c r="D266" s="6">
        <f>B266*$B$8</f>
        <v>432.23389339057337</v>
      </c>
      <c r="E266" s="6">
        <f>D266-C266</f>
        <v>180.17909887002546</v>
      </c>
      <c r="F266" s="6">
        <f>B266+E266</f>
        <v>1984356.8515657727</v>
      </c>
      <c r="G266" s="13">
        <f t="shared" si="28"/>
        <v>1984356.8515657724</v>
      </c>
      <c r="I266" s="37">
        <f t="shared" si="34"/>
        <v>44356.851565774625</v>
      </c>
      <c r="J266" s="37">
        <f t="shared" si="35"/>
        <v>85698.630136986103</v>
      </c>
      <c r="K266" s="36">
        <f t="shared" si="29"/>
        <v>99.217842578288611</v>
      </c>
      <c r="L266" s="36">
        <f t="shared" si="30"/>
        <v>103.50277408513791</v>
      </c>
      <c r="M266" s="35">
        <f t="shared" si="31"/>
        <v>1984356.8515657722</v>
      </c>
      <c r="N266" s="35">
        <f t="shared" si="32"/>
        <v>2070055.4817027585</v>
      </c>
    </row>
    <row r="267" spans="1:14" x14ac:dyDescent="0.15">
      <c r="A267" s="3">
        <f t="shared" si="33"/>
        <v>42998</v>
      </c>
      <c r="B267" s="6">
        <f>F266</f>
        <v>1984356.8515657727</v>
      </c>
      <c r="C267">
        <f t="shared" si="27"/>
        <v>252.05479452054792</v>
      </c>
      <c r="D267" s="6">
        <f>B267*$B$8</f>
        <v>432.27314368239109</v>
      </c>
      <c r="E267" s="6">
        <f>D267-C267</f>
        <v>180.21834916184318</v>
      </c>
      <c r="F267" s="6">
        <f>B267+E267</f>
        <v>1984537.0699149345</v>
      </c>
      <c r="G267" s="13">
        <f t="shared" si="28"/>
        <v>1984537.0699149345</v>
      </c>
      <c r="I267" s="37">
        <f t="shared" si="34"/>
        <v>44537.069914936466</v>
      </c>
      <c r="J267" s="37">
        <f t="shared" si="35"/>
        <v>85950.68493150665</v>
      </c>
      <c r="K267" s="36">
        <f t="shared" si="29"/>
        <v>99.226853495746724</v>
      </c>
      <c r="L267" s="36">
        <f t="shared" si="30"/>
        <v>103.52438774232206</v>
      </c>
      <c r="M267" s="35">
        <f t="shared" si="31"/>
        <v>1984537.0699149342</v>
      </c>
      <c r="N267" s="35">
        <f t="shared" si="32"/>
        <v>2070487.7548464411</v>
      </c>
    </row>
    <row r="268" spans="1:14" x14ac:dyDescent="0.15">
      <c r="A268" s="3">
        <f t="shared" si="33"/>
        <v>42999</v>
      </c>
      <c r="B268" s="6">
        <f>F267</f>
        <v>1984537.0699149345</v>
      </c>
      <c r="C268">
        <f t="shared" si="27"/>
        <v>252.05479452054792</v>
      </c>
      <c r="D268" s="6">
        <f>B268*$B$8</f>
        <v>432.31240252450908</v>
      </c>
      <c r="E268" s="6">
        <f>D268-C268</f>
        <v>180.25760800396117</v>
      </c>
      <c r="F268" s="6">
        <f>B268+E268</f>
        <v>1984717.3275229384</v>
      </c>
      <c r="G268" s="13">
        <f t="shared" si="28"/>
        <v>1984717.3275229384</v>
      </c>
      <c r="I268" s="37">
        <f t="shared" si="34"/>
        <v>44717.327522940424</v>
      </c>
      <c r="J268" s="37">
        <f t="shared" si="35"/>
        <v>86202.739726027197</v>
      </c>
      <c r="K268" s="36">
        <f t="shared" si="29"/>
        <v>99.235866376146916</v>
      </c>
      <c r="L268" s="36">
        <f t="shared" si="30"/>
        <v>103.54600336244827</v>
      </c>
      <c r="M268" s="35">
        <f t="shared" si="31"/>
        <v>1984717.3275229381</v>
      </c>
      <c r="N268" s="35">
        <f t="shared" si="32"/>
        <v>2070920.0672489656</v>
      </c>
    </row>
    <row r="269" spans="1:14" x14ac:dyDescent="0.15">
      <c r="A269" s="3">
        <f t="shared" si="33"/>
        <v>43000</v>
      </c>
      <c r="B269" s="6">
        <f>F268</f>
        <v>1984717.3275229384</v>
      </c>
      <c r="C269">
        <f t="shared" si="27"/>
        <v>252.05479452054792</v>
      </c>
      <c r="D269" s="6">
        <f>B269*$B$8</f>
        <v>432.35166991879004</v>
      </c>
      <c r="E269" s="6">
        <f>D269-C269</f>
        <v>180.29687539824212</v>
      </c>
      <c r="F269" s="6">
        <f>B269+E269</f>
        <v>1984897.6243983365</v>
      </c>
      <c r="G269" s="13">
        <f t="shared" si="28"/>
        <v>1984897.6243983365</v>
      </c>
      <c r="I269" s="37">
        <f t="shared" si="34"/>
        <v>44897.624398338667</v>
      </c>
      <c r="J269" s="37">
        <f t="shared" si="35"/>
        <v>86454.794520547744</v>
      </c>
      <c r="K269" s="36">
        <f t="shared" si="29"/>
        <v>99.24488121991682</v>
      </c>
      <c r="L269" s="36">
        <f t="shared" si="30"/>
        <v>103.56762094594421</v>
      </c>
      <c r="M269" s="35">
        <f t="shared" si="31"/>
        <v>1984897.6243983365</v>
      </c>
      <c r="N269" s="35">
        <f t="shared" si="32"/>
        <v>2071352.4189188844</v>
      </c>
    </row>
    <row r="270" spans="1:14" x14ac:dyDescent="0.15">
      <c r="A270" s="3">
        <f t="shared" si="33"/>
        <v>43001</v>
      </c>
      <c r="B270" s="6">
        <f>F269</f>
        <v>1984897.6243983365</v>
      </c>
      <c r="C270">
        <f t="shared" ref="C270:C333" si="36">$E$8*$E$6/100</f>
        <v>252.05479452054792</v>
      </c>
      <c r="D270" s="6">
        <f>B270*$B$8</f>
        <v>432.39094586709689</v>
      </c>
      <c r="E270" s="6">
        <f>D270-C270</f>
        <v>180.33615134654897</v>
      </c>
      <c r="F270" s="6">
        <f>B270+E270</f>
        <v>1985077.9605496831</v>
      </c>
      <c r="G270" s="13">
        <f t="shared" si="28"/>
        <v>1985077.9605496831</v>
      </c>
      <c r="I270" s="37">
        <f t="shared" si="34"/>
        <v>45077.960549685216</v>
      </c>
      <c r="J270" s="37">
        <f t="shared" si="35"/>
        <v>86706.849315068292</v>
      </c>
      <c r="K270" s="36">
        <f t="shared" si="29"/>
        <v>99.253898027484155</v>
      </c>
      <c r="L270" s="36">
        <f t="shared" si="30"/>
        <v>103.58924049323757</v>
      </c>
      <c r="M270" s="35">
        <f t="shared" si="31"/>
        <v>1985077.9605496831</v>
      </c>
      <c r="N270" s="35">
        <f t="shared" si="32"/>
        <v>2071784.8098647513</v>
      </c>
    </row>
    <row r="271" spans="1:14" x14ac:dyDescent="0.15">
      <c r="A271" s="3">
        <f t="shared" si="33"/>
        <v>43002</v>
      </c>
      <c r="B271" s="6">
        <f>F270</f>
        <v>1985077.9605496831</v>
      </c>
      <c r="C271">
        <f t="shared" si="36"/>
        <v>252.05479452054792</v>
      </c>
      <c r="D271" s="6">
        <f>B271*$B$8</f>
        <v>432.43023037129313</v>
      </c>
      <c r="E271" s="6">
        <f>D271-C271</f>
        <v>180.37543585074522</v>
      </c>
      <c r="F271" s="6">
        <f>B271+E271</f>
        <v>1985258.3359855339</v>
      </c>
      <c r="G271" s="13">
        <f t="shared" ref="G271:G334" si="37">B271+B271*$B$8-C271</f>
        <v>1985258.3359855337</v>
      </c>
      <c r="I271" s="37">
        <f t="shared" si="34"/>
        <v>45258.335985535959</v>
      </c>
      <c r="J271" s="37">
        <f t="shared" si="35"/>
        <v>86958.904109588839</v>
      </c>
      <c r="K271" s="36">
        <f t="shared" ref="K271:K334" si="38">G271/$E$6*100</f>
        <v>99.262916799276681</v>
      </c>
      <c r="L271" s="36">
        <f t="shared" ref="L271:L334" si="39">K271+J271/$E$6*100</f>
        <v>103.61086200475613</v>
      </c>
      <c r="M271" s="35">
        <f t="shared" ref="M271:M334" si="40">K271*$E$6/100</f>
        <v>1985258.3359855337</v>
      </c>
      <c r="N271" s="35">
        <f t="shared" ref="N271:N334" si="41">L271*$E$6/100</f>
        <v>2072217.2400951225</v>
      </c>
    </row>
    <row r="272" spans="1:14" x14ac:dyDescent="0.15">
      <c r="A272" s="3">
        <f t="shared" ref="A272:A335" si="42">A271+1</f>
        <v>43003</v>
      </c>
      <c r="B272" s="6">
        <f>F271</f>
        <v>1985258.3359855339</v>
      </c>
      <c r="C272">
        <f t="shared" si="36"/>
        <v>252.05479452054792</v>
      </c>
      <c r="D272" s="6">
        <f>B272*$B$8</f>
        <v>432.46952343324256</v>
      </c>
      <c r="E272" s="6">
        <f>D272-C272</f>
        <v>180.41472891269464</v>
      </c>
      <c r="F272" s="6">
        <f>B272+E272</f>
        <v>1985438.7507144467</v>
      </c>
      <c r="G272" s="13">
        <f t="shared" si="37"/>
        <v>1985438.7507144464</v>
      </c>
      <c r="I272" s="37">
        <f t="shared" ref="I272:I335" si="43">I271+E272</f>
        <v>45438.750714448652</v>
      </c>
      <c r="J272" s="37">
        <f t="shared" ref="J272:J335" si="44">J271+C272</f>
        <v>87210.958904109386</v>
      </c>
      <c r="K272" s="36">
        <f t="shared" si="38"/>
        <v>99.271937535722316</v>
      </c>
      <c r="L272" s="36">
        <f t="shared" si="39"/>
        <v>103.63248548092778</v>
      </c>
      <c r="M272" s="35">
        <f t="shared" si="40"/>
        <v>1985438.7507144464</v>
      </c>
      <c r="N272" s="35">
        <f t="shared" si="41"/>
        <v>2072649.7096185556</v>
      </c>
    </row>
    <row r="273" spans="1:14" x14ac:dyDescent="0.15">
      <c r="A273" s="3">
        <f t="shared" si="42"/>
        <v>43004</v>
      </c>
      <c r="B273" s="6">
        <f>F272</f>
        <v>1985438.7507144467</v>
      </c>
      <c r="C273">
        <f t="shared" si="36"/>
        <v>252.05479452054792</v>
      </c>
      <c r="D273" s="6">
        <f>B273*$B$8</f>
        <v>432.50882505480934</v>
      </c>
      <c r="E273" s="6">
        <f>D273-C273</f>
        <v>180.45403053426142</v>
      </c>
      <c r="F273" s="6">
        <f>B273+E273</f>
        <v>1985619.2047449809</v>
      </c>
      <c r="G273" s="13">
        <f t="shared" si="37"/>
        <v>1985619.2047449809</v>
      </c>
      <c r="I273" s="37">
        <f t="shared" si="43"/>
        <v>45619.204744982912</v>
      </c>
      <c r="J273" s="37">
        <f t="shared" si="44"/>
        <v>87463.013698629933</v>
      </c>
      <c r="K273" s="36">
        <f t="shared" si="38"/>
        <v>99.280960237249047</v>
      </c>
      <c r="L273" s="36">
        <f t="shared" si="39"/>
        <v>103.65411092218055</v>
      </c>
      <c r="M273" s="35">
        <f t="shared" si="40"/>
        <v>1985619.2047449809</v>
      </c>
      <c r="N273" s="35">
        <f t="shared" si="41"/>
        <v>2073082.2184436109</v>
      </c>
    </row>
    <row r="274" spans="1:14" x14ac:dyDescent="0.15">
      <c r="A274" s="3">
        <f t="shared" si="42"/>
        <v>43005</v>
      </c>
      <c r="B274" s="6">
        <f>F273</f>
        <v>1985619.2047449809</v>
      </c>
      <c r="C274">
        <f t="shared" si="36"/>
        <v>252.05479452054792</v>
      </c>
      <c r="D274" s="6">
        <f>B274*$B$8</f>
        <v>432.54813523785816</v>
      </c>
      <c r="E274" s="6">
        <f>D274-C274</f>
        <v>180.49334071731025</v>
      </c>
      <c r="F274" s="6">
        <f>B274+E274</f>
        <v>1985799.6980856983</v>
      </c>
      <c r="G274" s="13">
        <f t="shared" si="37"/>
        <v>1985799.6980856981</v>
      </c>
      <c r="I274" s="37">
        <f t="shared" si="43"/>
        <v>45799.69808570022</v>
      </c>
      <c r="J274" s="37">
        <f t="shared" si="44"/>
        <v>87715.06849315048</v>
      </c>
      <c r="K274" s="36">
        <f t="shared" si="38"/>
        <v>99.289984904284907</v>
      </c>
      <c r="L274" s="36">
        <f t="shared" si="39"/>
        <v>103.67573832894243</v>
      </c>
      <c r="M274" s="35">
        <f t="shared" si="40"/>
        <v>1985799.6980856983</v>
      </c>
      <c r="N274" s="35">
        <f t="shared" si="41"/>
        <v>2073514.7665788487</v>
      </c>
    </row>
    <row r="275" spans="1:14" x14ac:dyDescent="0.15">
      <c r="A275" s="3">
        <f t="shared" si="42"/>
        <v>43006</v>
      </c>
      <c r="B275" s="6">
        <f>F274</f>
        <v>1985799.6980856983</v>
      </c>
      <c r="C275">
        <f t="shared" si="36"/>
        <v>252.05479452054792</v>
      </c>
      <c r="D275" s="6">
        <f>B275*$B$8</f>
        <v>432.58745398425401</v>
      </c>
      <c r="E275" s="6">
        <f>D275-C275</f>
        <v>180.5326594637061</v>
      </c>
      <c r="F275" s="6">
        <f>B275+E275</f>
        <v>1985980.2307451621</v>
      </c>
      <c r="G275" s="13">
        <f t="shared" si="37"/>
        <v>1985980.2307451619</v>
      </c>
      <c r="I275" s="37">
        <f t="shared" si="43"/>
        <v>45980.230745163928</v>
      </c>
      <c r="J275" s="37">
        <f t="shared" si="44"/>
        <v>87967.123287671027</v>
      </c>
      <c r="K275" s="36">
        <f t="shared" si="38"/>
        <v>99.299011537258096</v>
      </c>
      <c r="L275" s="36">
        <f t="shared" si="39"/>
        <v>103.69736770164165</v>
      </c>
      <c r="M275" s="35">
        <f t="shared" si="40"/>
        <v>1985980.2307451619</v>
      </c>
      <c r="N275" s="35">
        <f t="shared" si="41"/>
        <v>2073947.3540328329</v>
      </c>
    </row>
    <row r="276" spans="1:14" x14ac:dyDescent="0.15">
      <c r="A276" s="3">
        <f t="shared" si="42"/>
        <v>43007</v>
      </c>
      <c r="B276" s="6">
        <f>F275</f>
        <v>1985980.2307451621</v>
      </c>
      <c r="C276">
        <f t="shared" si="36"/>
        <v>252.05479452054792</v>
      </c>
      <c r="D276" s="6">
        <f>B276*$B$8</f>
        <v>432.62678129586243</v>
      </c>
      <c r="E276" s="6">
        <f>D276-C276</f>
        <v>180.57198677531451</v>
      </c>
      <c r="F276" s="6">
        <f>B276+E276</f>
        <v>1986160.8027319375</v>
      </c>
      <c r="G276" s="13">
        <f t="shared" si="37"/>
        <v>1986160.8027319373</v>
      </c>
      <c r="I276" s="37">
        <f t="shared" si="43"/>
        <v>46160.802731939242</v>
      </c>
      <c r="J276" s="37">
        <f t="shared" si="44"/>
        <v>88219.178082191575</v>
      </c>
      <c r="K276" s="36">
        <f t="shared" si="38"/>
        <v>99.308040136596858</v>
      </c>
      <c r="L276" s="36">
        <f t="shared" si="39"/>
        <v>103.71899904070644</v>
      </c>
      <c r="M276" s="35">
        <f t="shared" si="40"/>
        <v>1986160.8027319373</v>
      </c>
      <c r="N276" s="35">
        <f t="shared" si="41"/>
        <v>2074379.9808141289</v>
      </c>
    </row>
    <row r="277" spans="1:14" x14ac:dyDescent="0.15">
      <c r="A277" s="3">
        <f t="shared" si="42"/>
        <v>43008</v>
      </c>
      <c r="B277" s="6">
        <f>F276</f>
        <v>1986160.8027319375</v>
      </c>
      <c r="C277">
        <f t="shared" si="36"/>
        <v>252.05479452054792</v>
      </c>
      <c r="D277" s="6">
        <f>B277*$B$8</f>
        <v>432.66611717454913</v>
      </c>
      <c r="E277" s="6">
        <f>D277-C277</f>
        <v>180.61132265400121</v>
      </c>
      <c r="F277" s="6">
        <f>B277+E277</f>
        <v>1986341.4140545914</v>
      </c>
      <c r="G277" s="13">
        <f t="shared" si="37"/>
        <v>1986341.4140545914</v>
      </c>
      <c r="I277" s="37">
        <f t="shared" si="43"/>
        <v>46341.414054593246</v>
      </c>
      <c r="J277" s="37">
        <f t="shared" si="44"/>
        <v>88471.232876712122</v>
      </c>
      <c r="K277" s="36">
        <f t="shared" si="38"/>
        <v>99.317070702729566</v>
      </c>
      <c r="L277" s="36">
        <f t="shared" si="39"/>
        <v>103.74063234656518</v>
      </c>
      <c r="M277" s="35">
        <f t="shared" si="40"/>
        <v>1986341.4140545914</v>
      </c>
      <c r="N277" s="35">
        <f t="shared" si="41"/>
        <v>2074812.6469313034</v>
      </c>
    </row>
    <row r="278" spans="1:14" x14ac:dyDescent="0.15">
      <c r="A278" s="3">
        <f t="shared" si="42"/>
        <v>43009</v>
      </c>
      <c r="B278" s="6">
        <f>F277</f>
        <v>1986341.4140545914</v>
      </c>
      <c r="C278">
        <f t="shared" si="36"/>
        <v>252.05479452054792</v>
      </c>
      <c r="D278" s="6">
        <f>B278*$B$8</f>
        <v>432.70546162218045</v>
      </c>
      <c r="E278" s="6">
        <f>D278-C278</f>
        <v>180.65066710163254</v>
      </c>
      <c r="F278" s="6">
        <f>B278+E278</f>
        <v>1986522.0647216931</v>
      </c>
      <c r="G278" s="13">
        <f t="shared" si="37"/>
        <v>1986522.0647216931</v>
      </c>
      <c r="I278" s="37">
        <f t="shared" si="43"/>
        <v>46522.064721694878</v>
      </c>
      <c r="J278" s="37">
        <f t="shared" si="44"/>
        <v>88723.287671232669</v>
      </c>
      <c r="K278" s="36">
        <f t="shared" si="38"/>
        <v>99.326103236084649</v>
      </c>
      <c r="L278" s="36">
        <f t="shared" si="39"/>
        <v>103.76226761964628</v>
      </c>
      <c r="M278" s="35">
        <f t="shared" si="40"/>
        <v>1986522.0647216931</v>
      </c>
      <c r="N278" s="35">
        <f t="shared" si="41"/>
        <v>2075245.3523929256</v>
      </c>
    </row>
    <row r="279" spans="1:14" x14ac:dyDescent="0.15">
      <c r="A279" s="3">
        <f t="shared" si="42"/>
        <v>43010</v>
      </c>
      <c r="B279" s="6">
        <f>F278</f>
        <v>1986522.0647216931</v>
      </c>
      <c r="C279">
        <f t="shared" si="36"/>
        <v>252.05479452054792</v>
      </c>
      <c r="D279" s="6">
        <f>B279*$B$8</f>
        <v>432.74481464062302</v>
      </c>
      <c r="E279" s="6">
        <f>D279-C279</f>
        <v>180.6900201200751</v>
      </c>
      <c r="F279" s="6">
        <f>B279+E279</f>
        <v>1986702.7547418131</v>
      </c>
      <c r="G279" s="13">
        <f t="shared" si="37"/>
        <v>1986702.7547418131</v>
      </c>
      <c r="I279" s="37">
        <f t="shared" si="43"/>
        <v>46702.754741814955</v>
      </c>
      <c r="J279" s="37">
        <f t="shared" si="44"/>
        <v>88975.342465753216</v>
      </c>
      <c r="K279" s="36">
        <f t="shared" si="38"/>
        <v>99.335137737090648</v>
      </c>
      <c r="L279" s="36">
        <f t="shared" si="39"/>
        <v>103.78390486037831</v>
      </c>
      <c r="M279" s="35">
        <f t="shared" si="40"/>
        <v>1986702.7547418131</v>
      </c>
      <c r="N279" s="35">
        <f t="shared" si="41"/>
        <v>2075678.0972075663</v>
      </c>
    </row>
    <row r="280" spans="1:14" x14ac:dyDescent="0.15">
      <c r="A280" s="3">
        <f t="shared" si="42"/>
        <v>43011</v>
      </c>
      <c r="B280" s="6">
        <f>F279</f>
        <v>1986702.7547418131</v>
      </c>
      <c r="C280">
        <f t="shared" si="36"/>
        <v>252.05479452054792</v>
      </c>
      <c r="D280" s="6">
        <f>B280*$B$8</f>
        <v>432.78417623174391</v>
      </c>
      <c r="E280" s="6">
        <f>D280-C280</f>
        <v>180.729381711196</v>
      </c>
      <c r="F280" s="6">
        <f>B280+E280</f>
        <v>1986883.4841235243</v>
      </c>
      <c r="G280" s="13">
        <f t="shared" si="37"/>
        <v>1986883.4841235243</v>
      </c>
      <c r="I280" s="37">
        <f t="shared" si="43"/>
        <v>46883.484123526148</v>
      </c>
      <c r="J280" s="37">
        <f t="shared" si="44"/>
        <v>89227.397260273763</v>
      </c>
      <c r="K280" s="36">
        <f t="shared" si="38"/>
        <v>99.34417420617622</v>
      </c>
      <c r="L280" s="36">
        <f t="shared" si="39"/>
        <v>103.80554406918991</v>
      </c>
      <c r="M280" s="35">
        <f t="shared" si="40"/>
        <v>1986883.4841235245</v>
      </c>
      <c r="N280" s="35">
        <f t="shared" si="41"/>
        <v>2076110.8813837981</v>
      </c>
    </row>
    <row r="281" spans="1:14" x14ac:dyDescent="0.15">
      <c r="A281" s="3">
        <f t="shared" si="42"/>
        <v>43012</v>
      </c>
      <c r="B281" s="6">
        <f>F280</f>
        <v>1986883.4841235243</v>
      </c>
      <c r="C281">
        <f t="shared" si="36"/>
        <v>252.05479452054792</v>
      </c>
      <c r="D281" s="6">
        <f>B281*$B$8</f>
        <v>432.82354639741067</v>
      </c>
      <c r="E281" s="6">
        <f>D281-C281</f>
        <v>180.76875187686275</v>
      </c>
      <c r="F281" s="6">
        <f>B281+E281</f>
        <v>1987064.2528754012</v>
      </c>
      <c r="G281" s="13">
        <f t="shared" si="37"/>
        <v>1987064.2528754012</v>
      </c>
      <c r="I281" s="37">
        <f t="shared" si="43"/>
        <v>47064.252875403014</v>
      </c>
      <c r="J281" s="37">
        <f t="shared" si="44"/>
        <v>89479.45205479431</v>
      </c>
      <c r="K281" s="36">
        <f t="shared" si="38"/>
        <v>99.353212643770064</v>
      </c>
      <c r="L281" s="36">
        <f t="shared" si="39"/>
        <v>103.82718524650979</v>
      </c>
      <c r="M281" s="35">
        <f t="shared" si="40"/>
        <v>1987064.2528754014</v>
      </c>
      <c r="N281" s="35">
        <f t="shared" si="41"/>
        <v>2076543.7049301958</v>
      </c>
    </row>
    <row r="282" spans="1:14" x14ac:dyDescent="0.15">
      <c r="A282" s="3">
        <f t="shared" si="42"/>
        <v>43013</v>
      </c>
      <c r="B282" s="6">
        <f>F281</f>
        <v>1987064.2528754012</v>
      </c>
      <c r="C282">
        <f t="shared" si="36"/>
        <v>252.05479452054792</v>
      </c>
      <c r="D282" s="6">
        <f>B282*$B$8</f>
        <v>432.8629251394911</v>
      </c>
      <c r="E282" s="6">
        <f>D282-C282</f>
        <v>180.80813061894318</v>
      </c>
      <c r="F282" s="6">
        <f>B282+E282</f>
        <v>1987245.0610060201</v>
      </c>
      <c r="G282" s="13">
        <f t="shared" si="37"/>
        <v>1987245.0610060201</v>
      </c>
      <c r="I282" s="37">
        <f t="shared" si="43"/>
        <v>47245.061006021955</v>
      </c>
      <c r="J282" s="37">
        <f t="shared" si="44"/>
        <v>89731.506849314857</v>
      </c>
      <c r="K282" s="36">
        <f t="shared" si="38"/>
        <v>99.362253050301007</v>
      </c>
      <c r="L282" s="36">
        <f t="shared" si="39"/>
        <v>103.84882839276675</v>
      </c>
      <c r="M282" s="35">
        <f t="shared" si="40"/>
        <v>1987245.0610060201</v>
      </c>
      <c r="N282" s="35">
        <f t="shared" si="41"/>
        <v>2076976.5678553348</v>
      </c>
    </row>
    <row r="283" spans="1:14" x14ac:dyDescent="0.15">
      <c r="A283" s="3">
        <f t="shared" si="42"/>
        <v>43014</v>
      </c>
      <c r="B283" s="6">
        <f>F282</f>
        <v>1987245.0610060201</v>
      </c>
      <c r="C283">
        <f t="shared" si="36"/>
        <v>252.05479452054792</v>
      </c>
      <c r="D283" s="6">
        <f>B283*$B$8</f>
        <v>432.90231245985353</v>
      </c>
      <c r="E283" s="6">
        <f>D283-C283</f>
        <v>180.84751793930562</v>
      </c>
      <c r="F283" s="6">
        <f>B283+E283</f>
        <v>1987425.9085239593</v>
      </c>
      <c r="G283" s="13">
        <f t="shared" si="37"/>
        <v>1987425.9085239593</v>
      </c>
      <c r="I283" s="37">
        <f t="shared" si="43"/>
        <v>47425.908523961261</v>
      </c>
      <c r="J283" s="37">
        <f t="shared" si="44"/>
        <v>89983.561643835405</v>
      </c>
      <c r="K283" s="36">
        <f t="shared" si="38"/>
        <v>99.371295426197975</v>
      </c>
      <c r="L283" s="36">
        <f t="shared" si="39"/>
        <v>103.87047350838975</v>
      </c>
      <c r="M283" s="35">
        <f t="shared" si="40"/>
        <v>1987425.9085239596</v>
      </c>
      <c r="N283" s="35">
        <f t="shared" si="41"/>
        <v>2077409.4701677952</v>
      </c>
    </row>
    <row r="284" spans="1:14" x14ac:dyDescent="0.15">
      <c r="A284" s="3">
        <f t="shared" si="42"/>
        <v>43015</v>
      </c>
      <c r="B284" s="6">
        <f>F283</f>
        <v>1987425.9085239593</v>
      </c>
      <c r="C284">
        <f t="shared" si="36"/>
        <v>252.05479452054792</v>
      </c>
      <c r="D284" s="6">
        <f>B284*$B$8</f>
        <v>432.94170836036665</v>
      </c>
      <c r="E284" s="6">
        <f>D284-C284</f>
        <v>180.88691383981873</v>
      </c>
      <c r="F284" s="6">
        <f>B284+E284</f>
        <v>1987606.7954377991</v>
      </c>
      <c r="G284" s="13">
        <f t="shared" si="37"/>
        <v>1987606.7954377991</v>
      </c>
      <c r="I284" s="37">
        <f t="shared" si="43"/>
        <v>47606.795437801084</v>
      </c>
      <c r="J284" s="37">
        <f t="shared" si="44"/>
        <v>90235.616438355952</v>
      </c>
      <c r="K284" s="36">
        <f t="shared" si="38"/>
        <v>99.380339771889965</v>
      </c>
      <c r="L284" s="36">
        <f t="shared" si="39"/>
        <v>103.89212059380776</v>
      </c>
      <c r="M284" s="35">
        <f t="shared" si="40"/>
        <v>1987606.7954377993</v>
      </c>
      <c r="N284" s="35">
        <f t="shared" si="41"/>
        <v>2077842.4118761551</v>
      </c>
    </row>
    <row r="285" spans="1:14" x14ac:dyDescent="0.15">
      <c r="A285" s="3">
        <f t="shared" si="42"/>
        <v>43016</v>
      </c>
      <c r="B285" s="6">
        <f>F284</f>
        <v>1987606.7954377991</v>
      </c>
      <c r="C285">
        <f t="shared" si="36"/>
        <v>252.05479452054792</v>
      </c>
      <c r="D285" s="6">
        <f>B285*$B$8</f>
        <v>432.98111284289951</v>
      </c>
      <c r="E285" s="6">
        <f>D285-C285</f>
        <v>180.92631832235159</v>
      </c>
      <c r="F285" s="6">
        <f>B285+E285</f>
        <v>1987787.7217561214</v>
      </c>
      <c r="G285" s="13">
        <f t="shared" si="37"/>
        <v>1987787.7217561214</v>
      </c>
      <c r="I285" s="37">
        <f t="shared" si="43"/>
        <v>47787.721756123436</v>
      </c>
      <c r="J285" s="37">
        <f t="shared" si="44"/>
        <v>90487.671232876499</v>
      </c>
      <c r="K285" s="36">
        <f t="shared" si="38"/>
        <v>99.389386087806059</v>
      </c>
      <c r="L285" s="36">
        <f t="shared" si="39"/>
        <v>103.91376964944989</v>
      </c>
      <c r="M285" s="35">
        <f t="shared" si="40"/>
        <v>1987787.7217561211</v>
      </c>
      <c r="N285" s="35">
        <f t="shared" si="41"/>
        <v>2078275.3929889977</v>
      </c>
    </row>
    <row r="286" spans="1:14" x14ac:dyDescent="0.15">
      <c r="A286" s="3">
        <f t="shared" si="42"/>
        <v>43017</v>
      </c>
      <c r="B286" s="6">
        <f>F285</f>
        <v>1987787.7217561214</v>
      </c>
      <c r="C286">
        <f t="shared" si="36"/>
        <v>252.05479452054792</v>
      </c>
      <c r="D286" s="6">
        <f>B286*$B$8</f>
        <v>433.02052590932169</v>
      </c>
      <c r="E286" s="6">
        <f>D286-C286</f>
        <v>180.96573138877378</v>
      </c>
      <c r="F286" s="6">
        <f>B286+E286</f>
        <v>1987968.6874875103</v>
      </c>
      <c r="G286" s="13">
        <f t="shared" si="37"/>
        <v>1987968.68748751</v>
      </c>
      <c r="I286" s="37">
        <f t="shared" si="43"/>
        <v>47968.687487512208</v>
      </c>
      <c r="J286" s="37">
        <f t="shared" si="44"/>
        <v>90739.726027397046</v>
      </c>
      <c r="K286" s="36">
        <f t="shared" si="38"/>
        <v>99.398434374375498</v>
      </c>
      <c r="L286" s="36">
        <f t="shared" si="39"/>
        <v>103.93542067574535</v>
      </c>
      <c r="M286" s="35">
        <f t="shared" si="40"/>
        <v>1987968.6874875098</v>
      </c>
      <c r="N286" s="35">
        <f t="shared" si="41"/>
        <v>2078708.413514907</v>
      </c>
    </row>
    <row r="287" spans="1:14" x14ac:dyDescent="0.15">
      <c r="A287" s="3">
        <f t="shared" si="42"/>
        <v>43018</v>
      </c>
      <c r="B287" s="6">
        <f>F286</f>
        <v>1987968.6874875103</v>
      </c>
      <c r="C287">
        <f t="shared" si="36"/>
        <v>252.05479452054792</v>
      </c>
      <c r="D287" s="6">
        <f>B287*$B$8</f>
        <v>433.05994756150312</v>
      </c>
      <c r="E287" s="6">
        <f>D287-C287</f>
        <v>181.00515304095521</v>
      </c>
      <c r="F287" s="6">
        <f>B287+E287</f>
        <v>1988149.6926405511</v>
      </c>
      <c r="G287" s="13">
        <f t="shared" si="37"/>
        <v>1988149.6926405511</v>
      </c>
      <c r="I287" s="37">
        <f t="shared" si="43"/>
        <v>48149.692640553163</v>
      </c>
      <c r="J287" s="37">
        <f t="shared" si="44"/>
        <v>90991.780821917593</v>
      </c>
      <c r="K287" s="36">
        <f t="shared" si="38"/>
        <v>99.407484632027547</v>
      </c>
      <c r="L287" s="36">
        <f t="shared" si="39"/>
        <v>103.95707367312343</v>
      </c>
      <c r="M287" s="35">
        <f t="shared" si="40"/>
        <v>1988149.6926405511</v>
      </c>
      <c r="N287" s="35">
        <f t="shared" si="41"/>
        <v>2079141.4734624687</v>
      </c>
    </row>
    <row r="288" spans="1:14" x14ac:dyDescent="0.15">
      <c r="A288" s="3">
        <f t="shared" si="42"/>
        <v>43019</v>
      </c>
      <c r="B288" s="6">
        <f>F287</f>
        <v>1988149.6926405511</v>
      </c>
      <c r="C288">
        <f t="shared" si="36"/>
        <v>252.05479452054792</v>
      </c>
      <c r="D288" s="6">
        <f>B288*$B$8</f>
        <v>433.09937780131401</v>
      </c>
      <c r="E288" s="6">
        <f>D288-C288</f>
        <v>181.04458328076609</v>
      </c>
      <c r="F288" s="6">
        <f>B288+E288</f>
        <v>1988330.7372238319</v>
      </c>
      <c r="G288" s="13">
        <f t="shared" si="37"/>
        <v>1988330.7372238319</v>
      </c>
      <c r="I288" s="37">
        <f t="shared" si="43"/>
        <v>48330.73722383393</v>
      </c>
      <c r="J288" s="37">
        <f t="shared" si="44"/>
        <v>91243.83561643814</v>
      </c>
      <c r="K288" s="36">
        <f t="shared" si="38"/>
        <v>99.416536861191602</v>
      </c>
      <c r="L288" s="36">
        <f t="shared" si="39"/>
        <v>103.97872864201351</v>
      </c>
      <c r="M288" s="35">
        <f t="shared" si="40"/>
        <v>1988330.7372238319</v>
      </c>
      <c r="N288" s="35">
        <f t="shared" si="41"/>
        <v>2079574.5728402701</v>
      </c>
    </row>
    <row r="289" spans="1:14" x14ac:dyDescent="0.15">
      <c r="A289" s="3">
        <f t="shared" si="42"/>
        <v>43020</v>
      </c>
      <c r="B289" s="6">
        <f>F288</f>
        <v>1988330.7372238319</v>
      </c>
      <c r="C289">
        <f t="shared" si="36"/>
        <v>252.05479452054792</v>
      </c>
      <c r="D289" s="6">
        <f>B289*$B$8</f>
        <v>433.13881663062523</v>
      </c>
      <c r="E289" s="6">
        <f>D289-C289</f>
        <v>181.08402211007731</v>
      </c>
      <c r="F289" s="6">
        <f>B289+E289</f>
        <v>1988511.821245942</v>
      </c>
      <c r="G289" s="13">
        <f t="shared" si="37"/>
        <v>1988511.821245942</v>
      </c>
      <c r="I289" s="37">
        <f t="shared" si="43"/>
        <v>48511.821245944011</v>
      </c>
      <c r="J289" s="37">
        <f t="shared" si="44"/>
        <v>91495.890410958687</v>
      </c>
      <c r="K289" s="36">
        <f t="shared" si="38"/>
        <v>99.425591062297102</v>
      </c>
      <c r="L289" s="36">
        <f t="shared" si="39"/>
        <v>104.00038558284504</v>
      </c>
      <c r="M289" s="35">
        <f t="shared" si="40"/>
        <v>1988511.821245942</v>
      </c>
      <c r="N289" s="35">
        <f t="shared" si="41"/>
        <v>2080007.7116569011</v>
      </c>
    </row>
    <row r="290" spans="1:14" x14ac:dyDescent="0.15">
      <c r="A290" s="3">
        <f t="shared" si="42"/>
        <v>43021</v>
      </c>
      <c r="B290" s="6">
        <f>F289</f>
        <v>1988511.821245942</v>
      </c>
      <c r="C290">
        <f t="shared" si="36"/>
        <v>252.05479452054792</v>
      </c>
      <c r="D290" s="6">
        <f>B290*$B$8</f>
        <v>433.17826405130791</v>
      </c>
      <c r="E290" s="6">
        <f>D290-C290</f>
        <v>181.12346953075999</v>
      </c>
      <c r="F290" s="6">
        <f>B290+E290</f>
        <v>1988692.9447154729</v>
      </c>
      <c r="G290" s="13">
        <f t="shared" si="37"/>
        <v>1988692.9447154726</v>
      </c>
      <c r="I290" s="37">
        <f t="shared" si="43"/>
        <v>48692.944715474769</v>
      </c>
      <c r="J290" s="37">
        <f t="shared" si="44"/>
        <v>91747.945205479235</v>
      </c>
      <c r="K290" s="36">
        <f t="shared" si="38"/>
        <v>99.434647235773639</v>
      </c>
      <c r="L290" s="36">
        <f t="shared" si="39"/>
        <v>104.0220444960476</v>
      </c>
      <c r="M290" s="35">
        <f t="shared" si="40"/>
        <v>1988692.9447154729</v>
      </c>
      <c r="N290" s="35">
        <f t="shared" si="41"/>
        <v>2080440.889920952</v>
      </c>
    </row>
    <row r="291" spans="1:14" x14ac:dyDescent="0.15">
      <c r="A291" s="3">
        <f t="shared" si="42"/>
        <v>43022</v>
      </c>
      <c r="B291" s="6">
        <f>F290</f>
        <v>1988692.9447154729</v>
      </c>
      <c r="C291">
        <f t="shared" si="36"/>
        <v>252.05479452054792</v>
      </c>
      <c r="D291" s="6">
        <f>B291*$B$8</f>
        <v>433.21772006523349</v>
      </c>
      <c r="E291" s="6">
        <f>D291-C291</f>
        <v>181.16292554468558</v>
      </c>
      <c r="F291" s="6">
        <f>B291+E291</f>
        <v>1988874.1076410175</v>
      </c>
      <c r="G291" s="13">
        <f t="shared" si="37"/>
        <v>1988874.1076410175</v>
      </c>
      <c r="I291" s="37">
        <f t="shared" si="43"/>
        <v>48874.107641019451</v>
      </c>
      <c r="J291" s="37">
        <f t="shared" si="44"/>
        <v>91999.999999999782</v>
      </c>
      <c r="K291" s="36">
        <f t="shared" si="38"/>
        <v>99.443705382050879</v>
      </c>
      <c r="L291" s="36">
        <f t="shared" si="39"/>
        <v>104.04370538205087</v>
      </c>
      <c r="M291" s="35">
        <f t="shared" si="40"/>
        <v>1988874.1076410178</v>
      </c>
      <c r="N291" s="35">
        <f t="shared" si="41"/>
        <v>2080874.1076410175</v>
      </c>
    </row>
    <row r="292" spans="1:14" x14ac:dyDescent="0.15">
      <c r="A292" s="3">
        <f t="shared" si="42"/>
        <v>43023</v>
      </c>
      <c r="B292" s="6">
        <f>F291</f>
        <v>1988874.1076410175</v>
      </c>
      <c r="C292">
        <f t="shared" si="36"/>
        <v>252.05479452054792</v>
      </c>
      <c r="D292" s="6">
        <f>B292*$B$8</f>
        <v>433.25718467427401</v>
      </c>
      <c r="E292" s="6">
        <f>D292-C292</f>
        <v>181.2023901537261</v>
      </c>
      <c r="F292" s="6">
        <f>B292+E292</f>
        <v>1989055.3100311712</v>
      </c>
      <c r="G292" s="13">
        <f t="shared" si="37"/>
        <v>1989055.3100311712</v>
      </c>
      <c r="I292" s="37">
        <f t="shared" si="43"/>
        <v>49055.310031173176</v>
      </c>
      <c r="J292" s="37">
        <f t="shared" si="44"/>
        <v>92252.054794520329</v>
      </c>
      <c r="K292" s="36">
        <f t="shared" si="38"/>
        <v>99.452765501558559</v>
      </c>
      <c r="L292" s="36">
        <f t="shared" si="39"/>
        <v>104.06536824128457</v>
      </c>
      <c r="M292" s="35">
        <f t="shared" si="40"/>
        <v>1989055.3100311712</v>
      </c>
      <c r="N292" s="35">
        <f t="shared" si="41"/>
        <v>2081307.3648256916</v>
      </c>
    </row>
    <row r="293" spans="1:14" x14ac:dyDescent="0.15">
      <c r="A293" s="3">
        <f t="shared" si="42"/>
        <v>43024</v>
      </c>
      <c r="B293" s="6">
        <f>F292</f>
        <v>1989055.3100311712</v>
      </c>
      <c r="C293">
        <f t="shared" si="36"/>
        <v>252.05479452054792</v>
      </c>
      <c r="D293" s="6">
        <f>B293*$B$8</f>
        <v>433.29665788030178</v>
      </c>
      <c r="E293" s="6">
        <f>D293-C293</f>
        <v>181.24186335975386</v>
      </c>
      <c r="F293" s="6">
        <f>B293+E293</f>
        <v>1989236.5518945309</v>
      </c>
      <c r="G293" s="13">
        <f t="shared" si="37"/>
        <v>1989236.5518945309</v>
      </c>
      <c r="I293" s="37">
        <f t="shared" si="43"/>
        <v>49236.551894532931</v>
      </c>
      <c r="J293" s="37">
        <f t="shared" si="44"/>
        <v>92504.109589040876</v>
      </c>
      <c r="K293" s="36">
        <f t="shared" si="38"/>
        <v>99.461827594726543</v>
      </c>
      <c r="L293" s="36">
        <f t="shared" si="39"/>
        <v>104.08703307417859</v>
      </c>
      <c r="M293" s="35">
        <f t="shared" si="40"/>
        <v>1989236.5518945309</v>
      </c>
      <c r="N293" s="35">
        <f t="shared" si="41"/>
        <v>2081740.6614835719</v>
      </c>
    </row>
    <row r="294" spans="1:14" x14ac:dyDescent="0.15">
      <c r="A294" s="3">
        <f t="shared" si="42"/>
        <v>43025</v>
      </c>
      <c r="B294" s="6">
        <f>F293</f>
        <v>1989236.5518945309</v>
      </c>
      <c r="C294">
        <f t="shared" si="36"/>
        <v>252.05479452054792</v>
      </c>
      <c r="D294" s="6">
        <f>B294*$B$8</f>
        <v>433.33613968518961</v>
      </c>
      <c r="E294" s="6">
        <f>D294-C294</f>
        <v>181.28134516464169</v>
      </c>
      <c r="F294" s="6">
        <f>B294+E294</f>
        <v>1989417.8332396955</v>
      </c>
      <c r="G294" s="13">
        <f t="shared" si="37"/>
        <v>1989417.8332396955</v>
      </c>
      <c r="I294" s="37">
        <f t="shared" si="43"/>
        <v>49417.833239697575</v>
      </c>
      <c r="J294" s="37">
        <f t="shared" si="44"/>
        <v>92756.164383561423</v>
      </c>
      <c r="K294" s="36">
        <f t="shared" si="38"/>
        <v>99.47089166198478</v>
      </c>
      <c r="L294" s="36">
        <f t="shared" si="39"/>
        <v>104.10869988116285</v>
      </c>
      <c r="M294" s="35">
        <f t="shared" si="40"/>
        <v>1989417.8332396958</v>
      </c>
      <c r="N294" s="35">
        <f t="shared" si="41"/>
        <v>2082173.9976232571</v>
      </c>
    </row>
    <row r="295" spans="1:14" x14ac:dyDescent="0.15">
      <c r="A295" s="3">
        <f t="shared" si="42"/>
        <v>43026</v>
      </c>
      <c r="B295" s="6">
        <f>F294</f>
        <v>1989417.8332396955</v>
      </c>
      <c r="C295">
        <f t="shared" si="36"/>
        <v>252.05479452054792</v>
      </c>
      <c r="D295" s="6">
        <f>B295*$B$8</f>
        <v>433.37563009081066</v>
      </c>
      <c r="E295" s="6">
        <f>D295-C295</f>
        <v>181.32083557026274</v>
      </c>
      <c r="F295" s="6">
        <f>B295+E295</f>
        <v>1989599.1540752659</v>
      </c>
      <c r="G295" s="13">
        <f t="shared" si="37"/>
        <v>1989599.1540752656</v>
      </c>
      <c r="I295" s="37">
        <f t="shared" si="43"/>
        <v>49599.154075267841</v>
      </c>
      <c r="J295" s="37">
        <f t="shared" si="44"/>
        <v>93008.21917808197</v>
      </c>
      <c r="K295" s="36">
        <f t="shared" si="38"/>
        <v>99.479957703763276</v>
      </c>
      <c r="L295" s="36">
        <f t="shared" si="39"/>
        <v>104.13036866266738</v>
      </c>
      <c r="M295" s="35">
        <f t="shared" si="40"/>
        <v>1989599.1540752656</v>
      </c>
      <c r="N295" s="35">
        <f t="shared" si="41"/>
        <v>2082607.3732533476</v>
      </c>
    </row>
    <row r="296" spans="1:14" x14ac:dyDescent="0.15">
      <c r="A296" s="3">
        <f t="shared" si="42"/>
        <v>43027</v>
      </c>
      <c r="B296" s="6">
        <f>F295</f>
        <v>1989599.1540752659</v>
      </c>
      <c r="C296">
        <f t="shared" si="36"/>
        <v>252.05479452054792</v>
      </c>
      <c r="D296" s="6">
        <f>B296*$B$8</f>
        <v>433.41512909903861</v>
      </c>
      <c r="E296" s="6">
        <f>D296-C296</f>
        <v>181.36033457849069</v>
      </c>
      <c r="F296" s="6">
        <f>B296+E296</f>
        <v>1989780.5144098443</v>
      </c>
      <c r="G296" s="13">
        <f t="shared" si="37"/>
        <v>1989780.5144098443</v>
      </c>
      <c r="I296" s="37">
        <f t="shared" si="43"/>
        <v>49780.514409846335</v>
      </c>
      <c r="J296" s="37">
        <f t="shared" si="44"/>
        <v>93260.273972602517</v>
      </c>
      <c r="K296" s="36">
        <f t="shared" si="38"/>
        <v>99.489025720492222</v>
      </c>
      <c r="L296" s="36">
        <f t="shared" si="39"/>
        <v>104.15203941912235</v>
      </c>
      <c r="M296" s="35">
        <f t="shared" si="40"/>
        <v>1989780.5144098445</v>
      </c>
      <c r="N296" s="35">
        <f t="shared" si="41"/>
        <v>2083040.7883824471</v>
      </c>
    </row>
    <row r="297" spans="1:14" x14ac:dyDescent="0.15">
      <c r="A297" s="3">
        <f t="shared" si="42"/>
        <v>43028</v>
      </c>
      <c r="B297" s="6">
        <f>F296</f>
        <v>1989780.5144098443</v>
      </c>
      <c r="C297">
        <f t="shared" si="36"/>
        <v>252.05479452054792</v>
      </c>
      <c r="D297" s="6">
        <f>B297*$B$8</f>
        <v>433.4546367117473</v>
      </c>
      <c r="E297" s="6">
        <f>D297-C297</f>
        <v>181.39984219119938</v>
      </c>
      <c r="F297" s="6">
        <f>B297+E297</f>
        <v>1989961.9142520356</v>
      </c>
      <c r="G297" s="13">
        <f t="shared" si="37"/>
        <v>1989961.9142520356</v>
      </c>
      <c r="I297" s="37">
        <f t="shared" si="43"/>
        <v>49961.914252037532</v>
      </c>
      <c r="J297" s="37">
        <f t="shared" si="44"/>
        <v>93512.328767123065</v>
      </c>
      <c r="K297" s="36">
        <f t="shared" si="38"/>
        <v>99.498095712601781</v>
      </c>
      <c r="L297" s="36">
        <f t="shared" si="39"/>
        <v>104.17371215095794</v>
      </c>
      <c r="M297" s="35">
        <f t="shared" si="40"/>
        <v>1989961.9142520356</v>
      </c>
      <c r="N297" s="35">
        <f t="shared" si="41"/>
        <v>2083474.243019159</v>
      </c>
    </row>
    <row r="298" spans="1:14" x14ac:dyDescent="0.15">
      <c r="A298" s="3">
        <f t="shared" si="42"/>
        <v>43029</v>
      </c>
      <c r="B298" s="6">
        <f>F297</f>
        <v>1989961.9142520356</v>
      </c>
      <c r="C298">
        <f t="shared" si="36"/>
        <v>252.05479452054792</v>
      </c>
      <c r="D298" s="6">
        <f>B298*$B$8</f>
        <v>433.49415293081125</v>
      </c>
      <c r="E298" s="6">
        <f>D298-C298</f>
        <v>181.43935841026334</v>
      </c>
      <c r="F298" s="6">
        <f>B298+E298</f>
        <v>1990143.3536104457</v>
      </c>
      <c r="G298" s="13">
        <f t="shared" si="37"/>
        <v>1990143.3536104457</v>
      </c>
      <c r="I298" s="37">
        <f t="shared" si="43"/>
        <v>50143.353610447797</v>
      </c>
      <c r="J298" s="37">
        <f t="shared" si="44"/>
        <v>93764.383561643612</v>
      </c>
      <c r="K298" s="36">
        <f t="shared" si="38"/>
        <v>99.507167680522286</v>
      </c>
      <c r="L298" s="36">
        <f t="shared" si="39"/>
        <v>104.19538685860446</v>
      </c>
      <c r="M298" s="35">
        <f t="shared" si="40"/>
        <v>1990143.3536104457</v>
      </c>
      <c r="N298" s="35">
        <f t="shared" si="41"/>
        <v>2083907.7371720893</v>
      </c>
    </row>
    <row r="299" spans="1:14" x14ac:dyDescent="0.15">
      <c r="A299" s="3">
        <f t="shared" si="42"/>
        <v>43030</v>
      </c>
      <c r="B299" s="6">
        <f>F298</f>
        <v>1990143.3536104457</v>
      </c>
      <c r="C299">
        <f t="shared" si="36"/>
        <v>252.05479452054792</v>
      </c>
      <c r="D299" s="6">
        <f>B299*$B$8</f>
        <v>433.53367775810517</v>
      </c>
      <c r="E299" s="6">
        <f>D299-C299</f>
        <v>181.47888323755726</v>
      </c>
      <c r="F299" s="6">
        <f>B299+E299</f>
        <v>1990324.8324936833</v>
      </c>
      <c r="G299" s="13">
        <f t="shared" si="37"/>
        <v>1990324.8324936833</v>
      </c>
      <c r="I299" s="37">
        <f t="shared" si="43"/>
        <v>50324.832493685353</v>
      </c>
      <c r="J299" s="37">
        <f t="shared" si="44"/>
        <v>94016.438356164159</v>
      </c>
      <c r="K299" s="36">
        <f t="shared" si="38"/>
        <v>99.51624162468417</v>
      </c>
      <c r="L299" s="36">
        <f t="shared" si="39"/>
        <v>104.21706354249238</v>
      </c>
      <c r="M299" s="35">
        <f t="shared" si="40"/>
        <v>1990324.8324936833</v>
      </c>
      <c r="N299" s="35">
        <f t="shared" si="41"/>
        <v>2084341.2708498477</v>
      </c>
    </row>
    <row r="300" spans="1:14" x14ac:dyDescent="0.15">
      <c r="A300" s="3">
        <f t="shared" si="42"/>
        <v>43031</v>
      </c>
      <c r="B300" s="6">
        <f>F299</f>
        <v>1990324.8324936833</v>
      </c>
      <c r="C300">
        <f t="shared" si="36"/>
        <v>252.05479452054792</v>
      </c>
      <c r="D300" s="6">
        <f>B300*$B$8</f>
        <v>433.57321119550437</v>
      </c>
      <c r="E300" s="6">
        <f>D300-C300</f>
        <v>181.51841667495646</v>
      </c>
      <c r="F300" s="6">
        <f>B300+E300</f>
        <v>1990506.3509103584</v>
      </c>
      <c r="G300" s="13">
        <f t="shared" si="37"/>
        <v>1990506.3509103581</v>
      </c>
      <c r="I300" s="37">
        <f t="shared" si="43"/>
        <v>50506.350910360306</v>
      </c>
      <c r="J300" s="37">
        <f t="shared" si="44"/>
        <v>94268.493150684706</v>
      </c>
      <c r="K300" s="36">
        <f t="shared" si="38"/>
        <v>99.525317545517908</v>
      </c>
      <c r="L300" s="36">
        <f t="shared" si="39"/>
        <v>104.23874220305214</v>
      </c>
      <c r="M300" s="35">
        <f t="shared" si="40"/>
        <v>1990506.3509103581</v>
      </c>
      <c r="N300" s="35">
        <f t="shared" si="41"/>
        <v>2084774.8440610426</v>
      </c>
    </row>
    <row r="301" spans="1:14" x14ac:dyDescent="0.15">
      <c r="A301" s="3">
        <f t="shared" si="42"/>
        <v>43032</v>
      </c>
      <c r="B301" s="6">
        <f>F300</f>
        <v>1990506.3509103584</v>
      </c>
      <c r="C301">
        <f t="shared" si="36"/>
        <v>252.05479452054792</v>
      </c>
      <c r="D301" s="6">
        <f>B301*$B$8</f>
        <v>433.61275324488452</v>
      </c>
      <c r="E301" s="6">
        <f>D301-C301</f>
        <v>181.5579587243366</v>
      </c>
      <c r="F301" s="6">
        <f>B301+E301</f>
        <v>1990687.9088690828</v>
      </c>
      <c r="G301" s="13">
        <f t="shared" si="37"/>
        <v>1990687.9088690826</v>
      </c>
      <c r="I301" s="37">
        <f t="shared" si="43"/>
        <v>50687.90886908464</v>
      </c>
      <c r="J301" s="37">
        <f t="shared" si="44"/>
        <v>94520.547945205253</v>
      </c>
      <c r="K301" s="36">
        <f t="shared" si="38"/>
        <v>99.53439544345413</v>
      </c>
      <c r="L301" s="36">
        <f t="shared" si="39"/>
        <v>104.2604228407144</v>
      </c>
      <c r="M301" s="35">
        <f t="shared" si="40"/>
        <v>1990687.9088690826</v>
      </c>
      <c r="N301" s="35">
        <f t="shared" si="41"/>
        <v>2085208.4568142879</v>
      </c>
    </row>
    <row r="302" spans="1:14" x14ac:dyDescent="0.15">
      <c r="A302" s="3">
        <f t="shared" si="42"/>
        <v>43033</v>
      </c>
      <c r="B302" s="6">
        <f>F301</f>
        <v>1990687.9088690828</v>
      </c>
      <c r="C302">
        <f t="shared" si="36"/>
        <v>252.05479452054792</v>
      </c>
      <c r="D302" s="6">
        <f>B302*$B$8</f>
        <v>433.65230390812155</v>
      </c>
      <c r="E302" s="6">
        <f>D302-C302</f>
        <v>181.59750938757364</v>
      </c>
      <c r="F302" s="6">
        <f>B302+E302</f>
        <v>1990869.5063784705</v>
      </c>
      <c r="G302" s="13">
        <f t="shared" si="37"/>
        <v>1990869.5063784702</v>
      </c>
      <c r="I302" s="37">
        <f t="shared" si="43"/>
        <v>50869.506378472215</v>
      </c>
      <c r="J302" s="37">
        <f t="shared" si="44"/>
        <v>94772.6027397258</v>
      </c>
      <c r="K302" s="36">
        <f t="shared" si="38"/>
        <v>99.543475318923512</v>
      </c>
      <c r="L302" s="36">
        <f t="shared" si="39"/>
        <v>104.2821054559098</v>
      </c>
      <c r="M302" s="35">
        <f t="shared" si="40"/>
        <v>1990869.5063784705</v>
      </c>
      <c r="N302" s="35">
        <f t="shared" si="41"/>
        <v>2085642.1091181962</v>
      </c>
    </row>
    <row r="303" spans="1:14" x14ac:dyDescent="0.15">
      <c r="A303" s="3">
        <f t="shared" si="42"/>
        <v>43034</v>
      </c>
      <c r="B303" s="6">
        <f>F302</f>
        <v>1990869.5063784705</v>
      </c>
      <c r="C303">
        <f t="shared" si="36"/>
        <v>252.05479452054792</v>
      </c>
      <c r="D303" s="6">
        <f>B303*$B$8</f>
        <v>433.69186318709194</v>
      </c>
      <c r="E303" s="6">
        <f>D303-C303</f>
        <v>181.63706866654402</v>
      </c>
      <c r="F303" s="6">
        <f>B303+E303</f>
        <v>1991051.143447137</v>
      </c>
      <c r="G303" s="13">
        <f t="shared" si="37"/>
        <v>1991051.143447137</v>
      </c>
      <c r="I303" s="37">
        <f t="shared" si="43"/>
        <v>51051.143447138762</v>
      </c>
      <c r="J303" s="37">
        <f t="shared" si="44"/>
        <v>95024.657534246347</v>
      </c>
      <c r="K303" s="36">
        <f t="shared" si="38"/>
        <v>99.552557172356842</v>
      </c>
      <c r="L303" s="36">
        <f t="shared" si="39"/>
        <v>104.30379004906916</v>
      </c>
      <c r="M303" s="35">
        <f t="shared" si="40"/>
        <v>1991051.143447137</v>
      </c>
      <c r="N303" s="35">
        <f t="shared" si="41"/>
        <v>2086075.8009813833</v>
      </c>
    </row>
    <row r="304" spans="1:14" x14ac:dyDescent="0.15">
      <c r="A304" s="3">
        <f t="shared" si="42"/>
        <v>43035</v>
      </c>
      <c r="B304" s="6">
        <f>F303</f>
        <v>1991051.143447137</v>
      </c>
      <c r="C304">
        <f t="shared" si="36"/>
        <v>252.05479452054792</v>
      </c>
      <c r="D304" s="6">
        <f>B304*$B$8</f>
        <v>433.73143108367248</v>
      </c>
      <c r="E304" s="6">
        <f>D304-C304</f>
        <v>181.67663656312456</v>
      </c>
      <c r="F304" s="6">
        <f>B304+E304</f>
        <v>1991232.8200837001</v>
      </c>
      <c r="G304" s="13">
        <f t="shared" si="37"/>
        <v>1991232.8200837001</v>
      </c>
      <c r="I304" s="37">
        <f t="shared" si="43"/>
        <v>51232.820083701889</v>
      </c>
      <c r="J304" s="37">
        <f t="shared" si="44"/>
        <v>95276.712328766895</v>
      </c>
      <c r="K304" s="36">
        <f t="shared" si="38"/>
        <v>99.561641004185006</v>
      </c>
      <c r="L304" s="36">
        <f t="shared" si="39"/>
        <v>104.32547662062335</v>
      </c>
      <c r="M304" s="35">
        <f t="shared" si="40"/>
        <v>1991232.8200837001</v>
      </c>
      <c r="N304" s="35">
        <f t="shared" si="41"/>
        <v>2086509.5324124671</v>
      </c>
    </row>
    <row r="305" spans="1:14" x14ac:dyDescent="0.15">
      <c r="A305" s="3">
        <f t="shared" si="42"/>
        <v>43036</v>
      </c>
      <c r="B305" s="6">
        <f>F304</f>
        <v>1991232.8200837001</v>
      </c>
      <c r="C305">
        <f t="shared" si="36"/>
        <v>252.05479452054792</v>
      </c>
      <c r="D305" s="6">
        <f>B305*$B$8</f>
        <v>433.77100759974059</v>
      </c>
      <c r="E305" s="6">
        <f>D305-C305</f>
        <v>181.71621307919267</v>
      </c>
      <c r="F305" s="6">
        <f>B305+E305</f>
        <v>1991414.5362967793</v>
      </c>
      <c r="G305" s="13">
        <f t="shared" si="37"/>
        <v>1991414.5362967793</v>
      </c>
      <c r="I305" s="37">
        <f t="shared" si="43"/>
        <v>51414.53629678108</v>
      </c>
      <c r="J305" s="37">
        <f t="shared" si="44"/>
        <v>95528.767123287442</v>
      </c>
      <c r="K305" s="36">
        <f t="shared" si="38"/>
        <v>99.570726814838963</v>
      </c>
      <c r="L305" s="36">
        <f t="shared" si="39"/>
        <v>104.34716517100334</v>
      </c>
      <c r="M305" s="35">
        <f t="shared" si="40"/>
        <v>1991414.5362967793</v>
      </c>
      <c r="N305" s="35">
        <f t="shared" si="41"/>
        <v>2086943.3034200668</v>
      </c>
    </row>
    <row r="306" spans="1:14" x14ac:dyDescent="0.15">
      <c r="A306" s="3">
        <f t="shared" si="42"/>
        <v>43037</v>
      </c>
      <c r="B306" s="6">
        <f>F305</f>
        <v>1991414.5362967793</v>
      </c>
      <c r="C306">
        <f t="shared" si="36"/>
        <v>252.05479452054792</v>
      </c>
      <c r="D306" s="6">
        <f>B306*$B$8</f>
        <v>433.81059273717381</v>
      </c>
      <c r="E306" s="6">
        <f>D306-C306</f>
        <v>181.75579821662589</v>
      </c>
      <c r="F306" s="6">
        <f>B306+E306</f>
        <v>1991596.292094996</v>
      </c>
      <c r="G306" s="13">
        <f t="shared" si="37"/>
        <v>1991596.292094996</v>
      </c>
      <c r="I306" s="37">
        <f t="shared" si="43"/>
        <v>51596.292094997705</v>
      </c>
      <c r="J306" s="37">
        <f t="shared" si="44"/>
        <v>95780.821917807989</v>
      </c>
      <c r="K306" s="36">
        <f t="shared" si="38"/>
        <v>99.579814604749799</v>
      </c>
      <c r="L306" s="36">
        <f t="shared" si="39"/>
        <v>104.3688557006402</v>
      </c>
      <c r="M306" s="35">
        <f t="shared" si="40"/>
        <v>1991596.292094996</v>
      </c>
      <c r="N306" s="35">
        <f t="shared" si="41"/>
        <v>2087377.1140128041</v>
      </c>
    </row>
    <row r="307" spans="1:14" x14ac:dyDescent="0.15">
      <c r="A307" s="3">
        <f t="shared" si="42"/>
        <v>43038</v>
      </c>
      <c r="B307" s="6">
        <f>F306</f>
        <v>1991596.292094996</v>
      </c>
      <c r="C307">
        <f t="shared" si="36"/>
        <v>252.05479452054792</v>
      </c>
      <c r="D307" s="6">
        <f>B307*$B$8</f>
        <v>433.8501864978503</v>
      </c>
      <c r="E307" s="6">
        <f>D307-C307</f>
        <v>181.79539197730239</v>
      </c>
      <c r="F307" s="6">
        <f>B307+E307</f>
        <v>1991778.0874869733</v>
      </c>
      <c r="G307" s="13">
        <f t="shared" si="37"/>
        <v>1991778.0874869733</v>
      </c>
      <c r="I307" s="37">
        <f t="shared" si="43"/>
        <v>51778.087486975004</v>
      </c>
      <c r="J307" s="37">
        <f t="shared" si="44"/>
        <v>96032.876712328536</v>
      </c>
      <c r="K307" s="36">
        <f t="shared" si="38"/>
        <v>99.588904374348658</v>
      </c>
      <c r="L307" s="36">
        <f t="shared" si="39"/>
        <v>104.39054820996509</v>
      </c>
      <c r="M307" s="35">
        <f t="shared" si="40"/>
        <v>1991778.087486973</v>
      </c>
      <c r="N307" s="35">
        <f t="shared" si="41"/>
        <v>2087810.9641993018</v>
      </c>
    </row>
    <row r="308" spans="1:14" x14ac:dyDescent="0.15">
      <c r="A308" s="3">
        <f t="shared" si="42"/>
        <v>43039</v>
      </c>
      <c r="B308" s="6">
        <f>F307</f>
        <v>1991778.0874869733</v>
      </c>
      <c r="C308">
        <f t="shared" si="36"/>
        <v>252.05479452054792</v>
      </c>
      <c r="D308" s="6">
        <f>B308*$B$8</f>
        <v>433.88978888364846</v>
      </c>
      <c r="E308" s="6">
        <f>D308-C308</f>
        <v>181.83499436310055</v>
      </c>
      <c r="F308" s="6">
        <f>B308+E308</f>
        <v>1991959.9224813364</v>
      </c>
      <c r="G308" s="13">
        <f t="shared" si="37"/>
        <v>1991959.9224813364</v>
      </c>
      <c r="I308" s="37">
        <f t="shared" si="43"/>
        <v>51959.922481338108</v>
      </c>
      <c r="J308" s="37">
        <f t="shared" si="44"/>
        <v>96284.931506849083</v>
      </c>
      <c r="K308" s="36">
        <f t="shared" si="38"/>
        <v>99.597996124066825</v>
      </c>
      <c r="L308" s="36">
        <f t="shared" si="39"/>
        <v>104.41224269940928</v>
      </c>
      <c r="M308" s="35">
        <f t="shared" si="40"/>
        <v>1991959.9224813366</v>
      </c>
      <c r="N308" s="35">
        <f t="shared" si="41"/>
        <v>2088244.8539881855</v>
      </c>
    </row>
    <row r="309" spans="1:14" x14ac:dyDescent="0.15">
      <c r="A309" s="3">
        <f t="shared" si="42"/>
        <v>43040</v>
      </c>
      <c r="B309" s="6">
        <f>F308</f>
        <v>1991959.9224813364</v>
      </c>
      <c r="C309">
        <f t="shared" si="36"/>
        <v>252.05479452054792</v>
      </c>
      <c r="D309" s="6">
        <f>B309*$B$8</f>
        <v>433.92939989644731</v>
      </c>
      <c r="E309" s="6">
        <f>D309-C309</f>
        <v>181.87460537589939</v>
      </c>
      <c r="F309" s="6">
        <f>B309+E309</f>
        <v>1992141.7970867122</v>
      </c>
      <c r="G309" s="13">
        <f t="shared" si="37"/>
        <v>1992141.7970867122</v>
      </c>
      <c r="I309" s="37">
        <f t="shared" si="43"/>
        <v>52141.79708671401</v>
      </c>
      <c r="J309" s="37">
        <f t="shared" si="44"/>
        <v>96536.98630136963</v>
      </c>
      <c r="K309" s="36">
        <f t="shared" si="38"/>
        <v>99.607089854335612</v>
      </c>
      <c r="L309" s="36">
        <f t="shared" si="39"/>
        <v>104.4339391694041</v>
      </c>
      <c r="M309" s="35">
        <f t="shared" si="40"/>
        <v>1992141.7970867122</v>
      </c>
      <c r="N309" s="35">
        <f t="shared" si="41"/>
        <v>2088678.7833880822</v>
      </c>
    </row>
    <row r="310" spans="1:14" x14ac:dyDescent="0.15">
      <c r="A310" s="3">
        <f t="shared" si="42"/>
        <v>43041</v>
      </c>
      <c r="B310" s="6">
        <f>F309</f>
        <v>1992141.7970867122</v>
      </c>
      <c r="C310">
        <f t="shared" si="36"/>
        <v>252.05479452054792</v>
      </c>
      <c r="D310" s="6">
        <f>B310*$B$8</f>
        <v>433.96901953812608</v>
      </c>
      <c r="E310" s="6">
        <f>D310-C310</f>
        <v>181.91422501757816</v>
      </c>
      <c r="F310" s="6">
        <f>B310+E310</f>
        <v>1992323.7113117299</v>
      </c>
      <c r="G310" s="13">
        <f t="shared" si="37"/>
        <v>1992323.7113117296</v>
      </c>
      <c r="I310" s="37">
        <f t="shared" si="43"/>
        <v>52323.711311731589</v>
      </c>
      <c r="J310" s="37">
        <f t="shared" si="44"/>
        <v>96789.041095890178</v>
      </c>
      <c r="K310" s="36">
        <f t="shared" si="38"/>
        <v>99.616185565586477</v>
      </c>
      <c r="L310" s="36">
        <f t="shared" si="39"/>
        <v>104.45563762038098</v>
      </c>
      <c r="M310" s="35">
        <f t="shared" si="40"/>
        <v>1992323.7113117296</v>
      </c>
      <c r="N310" s="35">
        <f t="shared" si="41"/>
        <v>2089112.7524076197</v>
      </c>
    </row>
    <row r="311" spans="1:14" x14ac:dyDescent="0.15">
      <c r="A311" s="3">
        <f t="shared" si="42"/>
        <v>43042</v>
      </c>
      <c r="B311" s="6">
        <f>F310</f>
        <v>1992323.7113117299</v>
      </c>
      <c r="C311">
        <f t="shared" si="36"/>
        <v>252.05479452054792</v>
      </c>
      <c r="D311" s="6">
        <f>B311*$B$8</f>
        <v>434.00864781056447</v>
      </c>
      <c r="E311" s="6">
        <f>D311-C311</f>
        <v>181.95385329001655</v>
      </c>
      <c r="F311" s="6">
        <f>B311+E311</f>
        <v>1992505.6651650199</v>
      </c>
      <c r="G311" s="13">
        <f t="shared" si="37"/>
        <v>1992505.6651650199</v>
      </c>
      <c r="I311" s="37">
        <f t="shared" si="43"/>
        <v>52505.665165021608</v>
      </c>
      <c r="J311" s="37">
        <f t="shared" si="44"/>
        <v>97041.095890410725</v>
      </c>
      <c r="K311" s="36">
        <f t="shared" si="38"/>
        <v>99.625283258251002</v>
      </c>
      <c r="L311" s="36">
        <f t="shared" si="39"/>
        <v>104.47733805277154</v>
      </c>
      <c r="M311" s="35">
        <f t="shared" si="40"/>
        <v>1992505.6651650199</v>
      </c>
      <c r="N311" s="35">
        <f t="shared" si="41"/>
        <v>2089546.7610554309</v>
      </c>
    </row>
    <row r="312" spans="1:14" x14ac:dyDescent="0.15">
      <c r="A312" s="3">
        <f t="shared" si="42"/>
        <v>43043</v>
      </c>
      <c r="B312" s="6">
        <f>F311</f>
        <v>1992505.6651650199</v>
      </c>
      <c r="C312">
        <f t="shared" si="36"/>
        <v>252.05479452054792</v>
      </c>
      <c r="D312" s="6">
        <f>B312*$B$8</f>
        <v>434.04828471564269</v>
      </c>
      <c r="E312" s="6">
        <f>D312-C312</f>
        <v>181.99349019509478</v>
      </c>
      <c r="F312" s="6">
        <f>B312+E312</f>
        <v>1992687.6586552151</v>
      </c>
      <c r="G312" s="13">
        <f t="shared" si="37"/>
        <v>1992687.6586552151</v>
      </c>
      <c r="I312" s="37">
        <f t="shared" si="43"/>
        <v>52687.658655216706</v>
      </c>
      <c r="J312" s="37">
        <f t="shared" si="44"/>
        <v>97293.150684931272</v>
      </c>
      <c r="K312" s="36">
        <f t="shared" si="38"/>
        <v>99.634382932760758</v>
      </c>
      <c r="L312" s="36">
        <f t="shared" si="39"/>
        <v>104.49904046700732</v>
      </c>
      <c r="M312" s="35">
        <f t="shared" si="40"/>
        <v>1992687.6586552153</v>
      </c>
      <c r="N312" s="35">
        <f t="shared" si="41"/>
        <v>2089980.8093401464</v>
      </c>
    </row>
    <row r="313" spans="1:14" x14ac:dyDescent="0.15">
      <c r="A313" s="3">
        <f t="shared" si="42"/>
        <v>43044</v>
      </c>
      <c r="B313" s="6">
        <f>F312</f>
        <v>1992687.6586552151</v>
      </c>
      <c r="C313">
        <f t="shared" si="36"/>
        <v>252.05479452054792</v>
      </c>
      <c r="D313" s="6">
        <f>B313*$B$8</f>
        <v>434.08793025524125</v>
      </c>
      <c r="E313" s="6">
        <f>D313-C313</f>
        <v>182.03313573469333</v>
      </c>
      <c r="F313" s="6">
        <f>B313+E313</f>
        <v>1992869.6917909498</v>
      </c>
      <c r="G313" s="13">
        <f t="shared" si="37"/>
        <v>1992869.6917909498</v>
      </c>
      <c r="I313" s="37">
        <f t="shared" si="43"/>
        <v>52869.691790951401</v>
      </c>
      <c r="J313" s="37">
        <f t="shared" si="44"/>
        <v>97545.205479451819</v>
      </c>
      <c r="K313" s="36">
        <f t="shared" si="38"/>
        <v>99.643484589547498</v>
      </c>
      <c r="L313" s="36">
        <f t="shared" si="39"/>
        <v>104.52074486352009</v>
      </c>
      <c r="M313" s="35">
        <f t="shared" si="40"/>
        <v>1992869.69179095</v>
      </c>
      <c r="N313" s="35">
        <f t="shared" si="41"/>
        <v>2090414.8972704019</v>
      </c>
    </row>
    <row r="314" spans="1:14" x14ac:dyDescent="0.15">
      <c r="A314" s="3">
        <f t="shared" si="42"/>
        <v>43045</v>
      </c>
      <c r="B314" s="6">
        <f>F313</f>
        <v>1992869.6917909498</v>
      </c>
      <c r="C314">
        <f t="shared" si="36"/>
        <v>252.05479452054792</v>
      </c>
      <c r="D314" s="6">
        <f>B314*$B$8</f>
        <v>434.12758443124108</v>
      </c>
      <c r="E314" s="6">
        <f>D314-C314</f>
        <v>182.07278991069316</v>
      </c>
      <c r="F314" s="6">
        <f>B314+E314</f>
        <v>1993051.7645808605</v>
      </c>
      <c r="G314" s="13">
        <f t="shared" si="37"/>
        <v>1993051.7645808605</v>
      </c>
      <c r="I314" s="37">
        <f t="shared" si="43"/>
        <v>53051.764580862095</v>
      </c>
      <c r="J314" s="37">
        <f t="shared" si="44"/>
        <v>97797.260273972366</v>
      </c>
      <c r="K314" s="36">
        <f t="shared" si="38"/>
        <v>99.652588229043033</v>
      </c>
      <c r="L314" s="36">
        <f t="shared" si="39"/>
        <v>104.54245124274165</v>
      </c>
      <c r="M314" s="35">
        <f t="shared" si="40"/>
        <v>1993051.7645808607</v>
      </c>
      <c r="N314" s="35">
        <f t="shared" si="41"/>
        <v>2090849.0248548328</v>
      </c>
    </row>
    <row r="315" spans="1:14" x14ac:dyDescent="0.15">
      <c r="A315" s="3">
        <f t="shared" si="42"/>
        <v>43046</v>
      </c>
      <c r="B315" s="6">
        <f>F314</f>
        <v>1993051.7645808605</v>
      </c>
      <c r="C315">
        <f t="shared" si="36"/>
        <v>252.05479452054792</v>
      </c>
      <c r="D315" s="6">
        <f>B315*$B$8</f>
        <v>434.16724724552347</v>
      </c>
      <c r="E315" s="6">
        <f>D315-C315</f>
        <v>182.11245272497555</v>
      </c>
      <c r="F315" s="6">
        <f>B315+E315</f>
        <v>1993233.8770335854</v>
      </c>
      <c r="G315" s="13">
        <f t="shared" si="37"/>
        <v>1993233.8770335854</v>
      </c>
      <c r="I315" s="37">
        <f t="shared" si="43"/>
        <v>53233.877033587072</v>
      </c>
      <c r="J315" s="37">
        <f t="shared" si="44"/>
        <v>98049.315068492913</v>
      </c>
      <c r="K315" s="36">
        <f t="shared" si="38"/>
        <v>99.661693851679274</v>
      </c>
      <c r="L315" s="36">
        <f t="shared" si="39"/>
        <v>104.56415960510392</v>
      </c>
      <c r="M315" s="35">
        <f t="shared" si="40"/>
        <v>1993233.8770335857</v>
      </c>
      <c r="N315" s="35">
        <f t="shared" si="41"/>
        <v>2091283.1921020786</v>
      </c>
    </row>
    <row r="316" spans="1:14" x14ac:dyDescent="0.15">
      <c r="A316" s="3">
        <f t="shared" si="42"/>
        <v>43047</v>
      </c>
      <c r="B316" s="6">
        <f>F315</f>
        <v>1993233.8770335854</v>
      </c>
      <c r="C316">
        <f t="shared" si="36"/>
        <v>252.05479452054792</v>
      </c>
      <c r="D316" s="6">
        <f>B316*$B$8</f>
        <v>434.20691869997029</v>
      </c>
      <c r="E316" s="6">
        <f>D316-C316</f>
        <v>182.15212417942237</v>
      </c>
      <c r="F316" s="6">
        <f>B316+E316</f>
        <v>1993416.029157765</v>
      </c>
      <c r="G316" s="13">
        <f t="shared" si="37"/>
        <v>1993416.0291577647</v>
      </c>
      <c r="I316" s="37">
        <f t="shared" si="43"/>
        <v>53416.029157766498</v>
      </c>
      <c r="J316" s="37">
        <f t="shared" si="44"/>
        <v>98301.36986301346</v>
      </c>
      <c r="K316" s="36">
        <f t="shared" si="38"/>
        <v>99.670801457888231</v>
      </c>
      <c r="L316" s="36">
        <f t="shared" si="39"/>
        <v>104.5858699510389</v>
      </c>
      <c r="M316" s="35">
        <f t="shared" si="40"/>
        <v>1993416.0291577645</v>
      </c>
      <c r="N316" s="35">
        <f t="shared" si="41"/>
        <v>2091717.399020778</v>
      </c>
    </row>
    <row r="317" spans="1:14" x14ac:dyDescent="0.15">
      <c r="A317" s="3">
        <f t="shared" si="42"/>
        <v>43048</v>
      </c>
      <c r="B317" s="6">
        <f>F316</f>
        <v>1993416.029157765</v>
      </c>
      <c r="C317">
        <f t="shared" si="36"/>
        <v>252.05479452054792</v>
      </c>
      <c r="D317" s="6">
        <f>B317*$B$8</f>
        <v>434.24659879646373</v>
      </c>
      <c r="E317" s="6">
        <f>D317-C317</f>
        <v>182.19180427591581</v>
      </c>
      <c r="F317" s="6">
        <f>B317+E317</f>
        <v>1993598.2209620408</v>
      </c>
      <c r="G317" s="13">
        <f t="shared" si="37"/>
        <v>1993598.2209620408</v>
      </c>
      <c r="I317" s="37">
        <f t="shared" si="43"/>
        <v>53598.220962042411</v>
      </c>
      <c r="J317" s="37">
        <f t="shared" si="44"/>
        <v>98553.424657534008</v>
      </c>
      <c r="K317" s="36">
        <f t="shared" si="38"/>
        <v>99.679911048102042</v>
      </c>
      <c r="L317" s="36">
        <f t="shared" si="39"/>
        <v>104.60758228097875</v>
      </c>
      <c r="M317" s="35">
        <f t="shared" si="40"/>
        <v>1993598.2209620408</v>
      </c>
      <c r="N317" s="35">
        <f t="shared" si="41"/>
        <v>2092151.6456195752</v>
      </c>
    </row>
    <row r="318" spans="1:14" x14ac:dyDescent="0.15">
      <c r="A318" s="3">
        <f t="shared" si="42"/>
        <v>43049</v>
      </c>
      <c r="B318" s="6">
        <f>F317</f>
        <v>1993598.2209620408</v>
      </c>
      <c r="C318">
        <f t="shared" si="36"/>
        <v>252.05479452054792</v>
      </c>
      <c r="D318" s="6">
        <f>B318*$B$8</f>
        <v>434.28628753688628</v>
      </c>
      <c r="E318" s="6">
        <f>D318-C318</f>
        <v>182.23149301633836</v>
      </c>
      <c r="F318" s="6">
        <f>B318+E318</f>
        <v>1993780.4524550571</v>
      </c>
      <c r="G318" s="13">
        <f t="shared" si="37"/>
        <v>1993780.4524550571</v>
      </c>
      <c r="I318" s="37">
        <f t="shared" si="43"/>
        <v>53780.452455058752</v>
      </c>
      <c r="J318" s="37">
        <f t="shared" si="44"/>
        <v>98805.479452054555</v>
      </c>
      <c r="K318" s="36">
        <f t="shared" si="38"/>
        <v>99.689022622752859</v>
      </c>
      <c r="L318" s="36">
        <f t="shared" si="39"/>
        <v>104.62929659535558</v>
      </c>
      <c r="M318" s="35">
        <f t="shared" si="40"/>
        <v>1993780.4524550573</v>
      </c>
      <c r="N318" s="35">
        <f t="shared" si="41"/>
        <v>2092585.9319071118</v>
      </c>
    </row>
    <row r="319" spans="1:14" x14ac:dyDescent="0.15">
      <c r="A319" s="3">
        <f t="shared" si="42"/>
        <v>43050</v>
      </c>
      <c r="B319" s="6">
        <f>F318</f>
        <v>1993780.4524550571</v>
      </c>
      <c r="C319">
        <f t="shared" si="36"/>
        <v>252.05479452054792</v>
      </c>
      <c r="D319" s="6">
        <f>B319*$B$8</f>
        <v>434.32598492312098</v>
      </c>
      <c r="E319" s="6">
        <f>D319-C319</f>
        <v>182.27119040257307</v>
      </c>
      <c r="F319" s="6">
        <f>B319+E319</f>
        <v>1993962.7236454596</v>
      </c>
      <c r="G319" s="13">
        <f t="shared" si="37"/>
        <v>1993962.7236454596</v>
      </c>
      <c r="I319" s="37">
        <f t="shared" si="43"/>
        <v>53962.723645461323</v>
      </c>
      <c r="J319" s="37">
        <f t="shared" si="44"/>
        <v>99057.534246575102</v>
      </c>
      <c r="K319" s="36">
        <f t="shared" si="38"/>
        <v>99.698136182272975</v>
      </c>
      <c r="L319" s="36">
        <f t="shared" si="39"/>
        <v>104.65101289460173</v>
      </c>
      <c r="M319" s="35">
        <f t="shared" si="40"/>
        <v>1993962.7236454594</v>
      </c>
      <c r="N319" s="35">
        <f t="shared" si="41"/>
        <v>2093020.2578920347</v>
      </c>
    </row>
    <row r="320" spans="1:14" x14ac:dyDescent="0.15">
      <c r="A320" s="3">
        <f t="shared" si="42"/>
        <v>43051</v>
      </c>
      <c r="B320" s="6">
        <f>F319</f>
        <v>1993962.7236454596</v>
      </c>
      <c r="C320">
        <f t="shared" si="36"/>
        <v>252.05479452054792</v>
      </c>
      <c r="D320" s="6">
        <f>B320*$B$8</f>
        <v>434.36569095705124</v>
      </c>
      <c r="E320" s="6">
        <f>D320-C320</f>
        <v>182.31089643650333</v>
      </c>
      <c r="F320" s="6">
        <f>B320+E320</f>
        <v>1994145.0345418961</v>
      </c>
      <c r="G320" s="13">
        <f t="shared" si="37"/>
        <v>1994145.0345418961</v>
      </c>
      <c r="I320" s="37">
        <f t="shared" si="43"/>
        <v>54145.034541897825</v>
      </c>
      <c r="J320" s="37">
        <f t="shared" si="44"/>
        <v>99309.589041095649</v>
      </c>
      <c r="K320" s="36">
        <f t="shared" si="38"/>
        <v>99.7072517270948</v>
      </c>
      <c r="L320" s="36">
        <f t="shared" si="39"/>
        <v>104.67273117914958</v>
      </c>
      <c r="M320" s="35">
        <f t="shared" si="40"/>
        <v>1994145.0345418961</v>
      </c>
      <c r="N320" s="35">
        <f t="shared" si="41"/>
        <v>2093454.6235829918</v>
      </c>
    </row>
    <row r="321" spans="1:14" x14ac:dyDescent="0.15">
      <c r="A321" s="3">
        <f t="shared" si="42"/>
        <v>43052</v>
      </c>
      <c r="B321" s="6">
        <f>F320</f>
        <v>1994145.0345418961</v>
      </c>
      <c r="C321">
        <f t="shared" si="36"/>
        <v>252.05479452054792</v>
      </c>
      <c r="D321" s="6">
        <f>B321*$B$8</f>
        <v>434.4054056405609</v>
      </c>
      <c r="E321" s="6">
        <f>D321-C321</f>
        <v>182.35061112001299</v>
      </c>
      <c r="F321" s="6">
        <f>B321+E321</f>
        <v>1994327.3851530161</v>
      </c>
      <c r="G321" s="13">
        <f t="shared" si="37"/>
        <v>1994327.3851530161</v>
      </c>
      <c r="I321" s="37">
        <f t="shared" si="43"/>
        <v>54327.385153017836</v>
      </c>
      <c r="J321" s="37">
        <f t="shared" si="44"/>
        <v>99561.643835616196</v>
      </c>
      <c r="K321" s="36">
        <f t="shared" si="38"/>
        <v>99.716369257650811</v>
      </c>
      <c r="L321" s="36">
        <f t="shared" si="39"/>
        <v>104.69445144943163</v>
      </c>
      <c r="M321" s="35">
        <f t="shared" si="40"/>
        <v>1994327.3851530161</v>
      </c>
      <c r="N321" s="35">
        <f t="shared" si="41"/>
        <v>2093889.0289886326</v>
      </c>
    </row>
    <row r="322" spans="1:14" x14ac:dyDescent="0.15">
      <c r="A322" s="3">
        <f t="shared" si="42"/>
        <v>43053</v>
      </c>
      <c r="B322" s="6">
        <f>F321</f>
        <v>1994327.3851530161</v>
      </c>
      <c r="C322">
        <f t="shared" si="36"/>
        <v>252.05479452054792</v>
      </c>
      <c r="D322" s="6">
        <f>B322*$B$8</f>
        <v>434.44512897553415</v>
      </c>
      <c r="E322" s="6">
        <f>D322-C322</f>
        <v>182.39033445498623</v>
      </c>
      <c r="F322" s="6">
        <f>B322+E322</f>
        <v>1994509.7754874711</v>
      </c>
      <c r="G322" s="13">
        <f t="shared" si="37"/>
        <v>1994509.7754874709</v>
      </c>
      <c r="I322" s="37">
        <f t="shared" si="43"/>
        <v>54509.77548747282</v>
      </c>
      <c r="J322" s="37">
        <f t="shared" si="44"/>
        <v>99813.698630136743</v>
      </c>
      <c r="K322" s="36">
        <f t="shared" si="38"/>
        <v>99.725488774373545</v>
      </c>
      <c r="L322" s="36">
        <f t="shared" si="39"/>
        <v>104.71617370588038</v>
      </c>
      <c r="M322" s="35">
        <f t="shared" si="40"/>
        <v>1994509.7754874709</v>
      </c>
      <c r="N322" s="35">
        <f t="shared" si="41"/>
        <v>2094323.4741176076</v>
      </c>
    </row>
    <row r="323" spans="1:14" x14ac:dyDescent="0.15">
      <c r="A323" s="3">
        <f t="shared" si="42"/>
        <v>43054</v>
      </c>
      <c r="B323" s="6">
        <f>F322</f>
        <v>1994509.7754874711</v>
      </c>
      <c r="C323">
        <f t="shared" si="36"/>
        <v>252.05479452054792</v>
      </c>
      <c r="D323" s="6">
        <f>B323*$B$8</f>
        <v>434.48486096385568</v>
      </c>
      <c r="E323" s="6">
        <f>D323-C323</f>
        <v>182.43006644330777</v>
      </c>
      <c r="F323" s="6">
        <f>B323+E323</f>
        <v>1994692.2055539144</v>
      </c>
      <c r="G323" s="13">
        <f t="shared" si="37"/>
        <v>1994692.2055539144</v>
      </c>
      <c r="I323" s="37">
        <f t="shared" si="43"/>
        <v>54692.20555391613</v>
      </c>
      <c r="J323" s="37">
        <f t="shared" si="44"/>
        <v>100065.75342465729</v>
      </c>
      <c r="K323" s="36">
        <f t="shared" si="38"/>
        <v>99.734610277695722</v>
      </c>
      <c r="L323" s="36">
        <f t="shared" si="39"/>
        <v>104.73789794892859</v>
      </c>
      <c r="M323" s="35">
        <f t="shared" si="40"/>
        <v>1994692.2055539144</v>
      </c>
      <c r="N323" s="35">
        <f t="shared" si="41"/>
        <v>2094757.9589785719</v>
      </c>
    </row>
    <row r="324" spans="1:14" x14ac:dyDescent="0.15">
      <c r="A324" s="3">
        <f t="shared" si="42"/>
        <v>43055</v>
      </c>
      <c r="B324" s="6">
        <f>F323</f>
        <v>1994692.2055539144</v>
      </c>
      <c r="C324">
        <f t="shared" si="36"/>
        <v>252.05479452054792</v>
      </c>
      <c r="D324" s="6">
        <f>B324*$B$8</f>
        <v>434.52460160741049</v>
      </c>
      <c r="E324" s="6">
        <f>D324-C324</f>
        <v>182.46980708686257</v>
      </c>
      <c r="F324" s="6">
        <f>B324+E324</f>
        <v>1994874.6753610014</v>
      </c>
      <c r="G324" s="13">
        <f t="shared" si="37"/>
        <v>1994874.6753610012</v>
      </c>
      <c r="I324" s="37">
        <f t="shared" si="43"/>
        <v>54874.675361002992</v>
      </c>
      <c r="J324" s="37">
        <f t="shared" si="44"/>
        <v>100317.80821917784</v>
      </c>
      <c r="K324" s="36">
        <f t="shared" si="38"/>
        <v>99.743733768050063</v>
      </c>
      <c r="L324" s="36">
        <f t="shared" si="39"/>
        <v>104.75962417900895</v>
      </c>
      <c r="M324" s="35">
        <f t="shared" si="40"/>
        <v>1994874.6753610012</v>
      </c>
      <c r="N324" s="35">
        <f t="shared" si="41"/>
        <v>2095192.4835801788</v>
      </c>
    </row>
    <row r="325" spans="1:14" x14ac:dyDescent="0.15">
      <c r="A325" s="3">
        <f t="shared" si="42"/>
        <v>43056</v>
      </c>
      <c r="B325" s="6">
        <f>F324</f>
        <v>1994874.6753610014</v>
      </c>
      <c r="C325">
        <f t="shared" si="36"/>
        <v>252.05479452054792</v>
      </c>
      <c r="D325" s="6">
        <f>B325*$B$8</f>
        <v>434.56435090808412</v>
      </c>
      <c r="E325" s="6">
        <f>D325-C325</f>
        <v>182.50955638753621</v>
      </c>
      <c r="F325" s="6">
        <f>B325+E325</f>
        <v>1995057.1849173889</v>
      </c>
      <c r="G325" s="13">
        <f t="shared" si="37"/>
        <v>1995057.1849173889</v>
      </c>
      <c r="I325" s="37">
        <f t="shared" si="43"/>
        <v>55057.184917390528</v>
      </c>
      <c r="J325" s="37">
        <f t="shared" si="44"/>
        <v>100569.86301369838</v>
      </c>
      <c r="K325" s="36">
        <f t="shared" si="38"/>
        <v>99.752859245869445</v>
      </c>
      <c r="L325" s="36">
        <f t="shared" si="39"/>
        <v>104.78135239655437</v>
      </c>
      <c r="M325" s="35">
        <f t="shared" si="40"/>
        <v>1995057.1849173889</v>
      </c>
      <c r="N325" s="35">
        <f t="shared" si="41"/>
        <v>2095627.0479310872</v>
      </c>
    </row>
    <row r="326" spans="1:14" x14ac:dyDescent="0.15">
      <c r="A326" s="3">
        <f t="shared" si="42"/>
        <v>43057</v>
      </c>
      <c r="B326" s="6">
        <f>F325</f>
        <v>1995057.1849173889</v>
      </c>
      <c r="C326">
        <f t="shared" si="36"/>
        <v>252.05479452054792</v>
      </c>
      <c r="D326" s="6">
        <f>B326*$B$8</f>
        <v>434.60410886776231</v>
      </c>
      <c r="E326" s="6">
        <f>D326-C326</f>
        <v>182.54931434721439</v>
      </c>
      <c r="F326" s="6">
        <f>B326+E326</f>
        <v>1995239.7342317363</v>
      </c>
      <c r="G326" s="13">
        <f t="shared" si="37"/>
        <v>1995239.734231736</v>
      </c>
      <c r="I326" s="37">
        <f t="shared" si="43"/>
        <v>55239.734231737741</v>
      </c>
      <c r="J326" s="37">
        <f t="shared" si="44"/>
        <v>100821.91780821893</v>
      </c>
      <c r="K326" s="36">
        <f t="shared" si="38"/>
        <v>99.7619867115868</v>
      </c>
      <c r="L326" s="36">
        <f t="shared" si="39"/>
        <v>104.80308260199774</v>
      </c>
      <c r="M326" s="35">
        <f t="shared" si="40"/>
        <v>1995239.734231736</v>
      </c>
      <c r="N326" s="35">
        <f t="shared" si="41"/>
        <v>2096061.6520399549</v>
      </c>
    </row>
    <row r="327" spans="1:14" x14ac:dyDescent="0.15">
      <c r="A327" s="3">
        <f t="shared" si="42"/>
        <v>43058</v>
      </c>
      <c r="B327" s="6">
        <f>F326</f>
        <v>1995239.7342317363</v>
      </c>
      <c r="C327">
        <f t="shared" si="36"/>
        <v>252.05479452054792</v>
      </c>
      <c r="D327" s="6">
        <f>B327*$B$8</f>
        <v>434.64387548833145</v>
      </c>
      <c r="E327" s="6">
        <f>D327-C327</f>
        <v>182.58908096778353</v>
      </c>
      <c r="F327" s="6">
        <f>B327+E327</f>
        <v>1995422.323312704</v>
      </c>
      <c r="G327" s="13">
        <f t="shared" si="37"/>
        <v>1995422.323312704</v>
      </c>
      <c r="I327" s="37">
        <f t="shared" si="43"/>
        <v>55422.323312705521</v>
      </c>
      <c r="J327" s="37">
        <f t="shared" si="44"/>
        <v>101073.97260273948</v>
      </c>
      <c r="K327" s="36">
        <f t="shared" si="38"/>
        <v>99.771116165635192</v>
      </c>
      <c r="L327" s="36">
        <f t="shared" si="39"/>
        <v>104.82481479577217</v>
      </c>
      <c r="M327" s="35">
        <f t="shared" si="40"/>
        <v>1995422.323312704</v>
      </c>
      <c r="N327" s="35">
        <f t="shared" si="41"/>
        <v>2096496.2959154432</v>
      </c>
    </row>
    <row r="328" spans="1:14" x14ac:dyDescent="0.15">
      <c r="A328" s="3">
        <f t="shared" si="42"/>
        <v>43059</v>
      </c>
      <c r="B328" s="6">
        <f>F327</f>
        <v>1995422.323312704</v>
      </c>
      <c r="C328">
        <f t="shared" si="36"/>
        <v>252.05479452054792</v>
      </c>
      <c r="D328" s="6">
        <f>B328*$B$8</f>
        <v>434.68365077167812</v>
      </c>
      <c r="E328" s="6">
        <f>D328-C328</f>
        <v>182.6288562511302</v>
      </c>
      <c r="F328" s="6">
        <f>B328+E328</f>
        <v>1995604.952168955</v>
      </c>
      <c r="G328" s="13">
        <f t="shared" si="37"/>
        <v>1995604.952168955</v>
      </c>
      <c r="I328" s="37">
        <f t="shared" si="43"/>
        <v>55604.952168956654</v>
      </c>
      <c r="J328" s="37">
        <f t="shared" si="44"/>
        <v>101326.02739726003</v>
      </c>
      <c r="K328" s="36">
        <f t="shared" si="38"/>
        <v>99.780247608447752</v>
      </c>
      <c r="L328" s="36">
        <f t="shared" si="39"/>
        <v>104.84654897831075</v>
      </c>
      <c r="M328" s="35">
        <f t="shared" si="40"/>
        <v>1995604.952168955</v>
      </c>
      <c r="N328" s="35">
        <f t="shared" si="41"/>
        <v>2096930.9795662151</v>
      </c>
    </row>
    <row r="329" spans="1:14" x14ac:dyDescent="0.15">
      <c r="A329" s="3">
        <f t="shared" si="42"/>
        <v>43060</v>
      </c>
      <c r="B329" s="6">
        <f>F328</f>
        <v>1995604.952168955</v>
      </c>
      <c r="C329">
        <f t="shared" si="36"/>
        <v>252.05479452054792</v>
      </c>
      <c r="D329" s="6">
        <f>B329*$B$8</f>
        <v>434.72343471968952</v>
      </c>
      <c r="E329" s="6">
        <f>D329-C329</f>
        <v>182.66864019914161</v>
      </c>
      <c r="F329" s="6">
        <f>B329+E329</f>
        <v>1995787.6208091541</v>
      </c>
      <c r="G329" s="13">
        <f t="shared" si="37"/>
        <v>1995787.6208091541</v>
      </c>
      <c r="I329" s="37">
        <f t="shared" si="43"/>
        <v>55787.620809155793</v>
      </c>
      <c r="J329" s="37">
        <f t="shared" si="44"/>
        <v>101578.08219178057</v>
      </c>
      <c r="K329" s="36">
        <f t="shared" si="38"/>
        <v>99.789381040457698</v>
      </c>
      <c r="L329" s="36">
        <f t="shared" si="39"/>
        <v>104.86828515004673</v>
      </c>
      <c r="M329" s="35">
        <f t="shared" si="40"/>
        <v>1995787.6208091539</v>
      </c>
      <c r="N329" s="35">
        <f t="shared" si="41"/>
        <v>2097365.7030009348</v>
      </c>
    </row>
    <row r="330" spans="1:14" x14ac:dyDescent="0.15">
      <c r="A330" s="3">
        <f t="shared" si="42"/>
        <v>43061</v>
      </c>
      <c r="B330" s="6">
        <f>F329</f>
        <v>1995787.6208091541</v>
      </c>
      <c r="C330">
        <f t="shared" si="36"/>
        <v>252.05479452054792</v>
      </c>
      <c r="D330" s="6">
        <f>B330*$B$8</f>
        <v>434.76322733425314</v>
      </c>
      <c r="E330" s="6">
        <f>D330-C330</f>
        <v>182.70843281370523</v>
      </c>
      <c r="F330" s="6">
        <f>B330+E330</f>
        <v>1995970.3292419678</v>
      </c>
      <c r="G330" s="13">
        <f t="shared" si="37"/>
        <v>1995970.3292419678</v>
      </c>
      <c r="I330" s="37">
        <f t="shared" si="43"/>
        <v>55970.329241969499</v>
      </c>
      <c r="J330" s="37">
        <f t="shared" si="44"/>
        <v>101830.13698630112</v>
      </c>
      <c r="K330" s="36">
        <f t="shared" si="38"/>
        <v>99.798516462098391</v>
      </c>
      <c r="L330" s="36">
        <f t="shared" si="39"/>
        <v>104.89002331141344</v>
      </c>
      <c r="M330" s="35">
        <f t="shared" si="40"/>
        <v>1995970.3292419678</v>
      </c>
      <c r="N330" s="35">
        <f t="shared" si="41"/>
        <v>2097800.4662282686</v>
      </c>
    </row>
    <row r="331" spans="1:14" x14ac:dyDescent="0.15">
      <c r="A331" s="3">
        <f t="shared" si="42"/>
        <v>43062</v>
      </c>
      <c r="B331" s="6">
        <f>F330</f>
        <v>1995970.3292419678</v>
      </c>
      <c r="C331">
        <f t="shared" si="36"/>
        <v>252.05479452054792</v>
      </c>
      <c r="D331" s="6">
        <f>B331*$B$8</f>
        <v>434.80302861725693</v>
      </c>
      <c r="E331" s="6">
        <f>D331-C331</f>
        <v>182.74823409670901</v>
      </c>
      <c r="F331" s="6">
        <f>B331+E331</f>
        <v>1996153.0774760644</v>
      </c>
      <c r="G331" s="13">
        <f t="shared" si="37"/>
        <v>1996153.0774760644</v>
      </c>
      <c r="I331" s="37">
        <f t="shared" si="43"/>
        <v>56153.07747606621</v>
      </c>
      <c r="J331" s="37">
        <f t="shared" si="44"/>
        <v>102082.19178082167</v>
      </c>
      <c r="K331" s="36">
        <f t="shared" si="38"/>
        <v>99.807653873803233</v>
      </c>
      <c r="L331" s="36">
        <f t="shared" si="39"/>
        <v>104.91176346284432</v>
      </c>
      <c r="M331" s="35">
        <f t="shared" si="40"/>
        <v>1996153.0774760647</v>
      </c>
      <c r="N331" s="35">
        <f t="shared" si="41"/>
        <v>2098235.2692568866</v>
      </c>
    </row>
    <row r="332" spans="1:14" x14ac:dyDescent="0.15">
      <c r="A332" s="3">
        <f t="shared" si="42"/>
        <v>43063</v>
      </c>
      <c r="B332" s="6">
        <f>F331</f>
        <v>1996153.0774760644</v>
      </c>
      <c r="C332">
        <f t="shared" si="36"/>
        <v>252.05479452054792</v>
      </c>
      <c r="D332" s="6">
        <f>B332*$B$8</f>
        <v>434.84283857058921</v>
      </c>
      <c r="E332" s="6">
        <f>D332-C332</f>
        <v>182.78804405004129</v>
      </c>
      <c r="F332" s="6">
        <f>B332+E332</f>
        <v>1996335.8655201145</v>
      </c>
      <c r="G332" s="13">
        <f t="shared" si="37"/>
        <v>1996335.8655201143</v>
      </c>
      <c r="I332" s="37">
        <f t="shared" si="43"/>
        <v>56335.865520116255</v>
      </c>
      <c r="J332" s="37">
        <f t="shared" si="44"/>
        <v>102334.24657534221</v>
      </c>
      <c r="K332" s="36">
        <f t="shared" si="38"/>
        <v>99.816793276005711</v>
      </c>
      <c r="L332" s="36">
        <f t="shared" si="39"/>
        <v>104.93350560477282</v>
      </c>
      <c r="M332" s="35">
        <f t="shared" si="40"/>
        <v>1996335.8655201143</v>
      </c>
      <c r="N332" s="35">
        <f t="shared" si="41"/>
        <v>2098670.1120954566</v>
      </c>
    </row>
    <row r="333" spans="1:14" x14ac:dyDescent="0.15">
      <c r="A333" s="3">
        <f t="shared" si="42"/>
        <v>43064</v>
      </c>
      <c r="B333" s="6">
        <f>F332</f>
        <v>1996335.8655201145</v>
      </c>
      <c r="C333">
        <f t="shared" si="36"/>
        <v>252.05479452054792</v>
      </c>
      <c r="D333" s="6">
        <f>B333*$B$8</f>
        <v>434.88265719613872</v>
      </c>
      <c r="E333" s="6">
        <f>D333-C333</f>
        <v>182.82786267559081</v>
      </c>
      <c r="F333" s="6">
        <f>B333+E333</f>
        <v>1996518.6933827901</v>
      </c>
      <c r="G333" s="13">
        <f t="shared" si="37"/>
        <v>1996518.6933827901</v>
      </c>
      <c r="I333" s="37">
        <f t="shared" si="43"/>
        <v>56518.693382791847</v>
      </c>
      <c r="J333" s="37">
        <f t="shared" si="44"/>
        <v>102586.30136986276</v>
      </c>
      <c r="K333" s="36">
        <f t="shared" si="38"/>
        <v>99.8259346691395</v>
      </c>
      <c r="L333" s="36">
        <f t="shared" si="39"/>
        <v>104.95524973763264</v>
      </c>
      <c r="M333" s="35">
        <f t="shared" si="40"/>
        <v>1996518.6933827901</v>
      </c>
      <c r="N333" s="35">
        <f t="shared" si="41"/>
        <v>2099104.9947526529</v>
      </c>
    </row>
    <row r="334" spans="1:14" x14ac:dyDescent="0.15">
      <c r="A334" s="3">
        <f t="shared" si="42"/>
        <v>43065</v>
      </c>
      <c r="B334" s="6">
        <f>F333</f>
        <v>1996518.6933827901</v>
      </c>
      <c r="C334">
        <f t="shared" ref="C334:C352" si="45">$E$8*$E$6/100</f>
        <v>252.05479452054792</v>
      </c>
      <c r="D334" s="6">
        <f>B334*$B$8</f>
        <v>434.92248449579455</v>
      </c>
      <c r="E334" s="6">
        <f>D334-C334</f>
        <v>182.86768997524663</v>
      </c>
      <c r="F334" s="6">
        <f>B334+E334</f>
        <v>1996701.5610727654</v>
      </c>
      <c r="G334" s="13">
        <f t="shared" si="37"/>
        <v>1996701.5610727654</v>
      </c>
      <c r="I334" s="37">
        <f t="shared" si="43"/>
        <v>56701.561072767094</v>
      </c>
      <c r="J334" s="37">
        <f t="shared" si="44"/>
        <v>102838.35616438331</v>
      </c>
      <c r="K334" s="36">
        <f t="shared" si="38"/>
        <v>99.83507805363827</v>
      </c>
      <c r="L334" s="36">
        <f t="shared" si="39"/>
        <v>104.97699586185743</v>
      </c>
      <c r="M334" s="35">
        <f t="shared" si="40"/>
        <v>1996701.5610727654</v>
      </c>
      <c r="N334" s="35">
        <f t="shared" si="41"/>
        <v>2099539.9172371486</v>
      </c>
    </row>
    <row r="335" spans="1:14" x14ac:dyDescent="0.15">
      <c r="A335" s="3">
        <f t="shared" si="42"/>
        <v>43066</v>
      </c>
      <c r="B335" s="6">
        <f>F334</f>
        <v>1996701.5610727654</v>
      </c>
      <c r="C335">
        <f t="shared" si="45"/>
        <v>252.05479452054792</v>
      </c>
      <c r="D335" s="6">
        <f>B335*$B$8</f>
        <v>434.96232047144645</v>
      </c>
      <c r="E335" s="6">
        <f>D335-C335</f>
        <v>182.90752595089853</v>
      </c>
      <c r="F335" s="6">
        <f>B335+E335</f>
        <v>1996884.4685987162</v>
      </c>
      <c r="G335" s="13">
        <f t="shared" ref="G335:G353" si="46">B335+B335*$B$8-C335</f>
        <v>1996884.4685987162</v>
      </c>
      <c r="I335" s="37">
        <f t="shared" si="43"/>
        <v>56884.468598717991</v>
      </c>
      <c r="J335" s="37">
        <f t="shared" si="44"/>
        <v>103090.41095890386</v>
      </c>
      <c r="K335" s="36">
        <f t="shared" ref="K335:K352" si="47">G335/$E$6*100</f>
        <v>99.844223429935809</v>
      </c>
      <c r="L335" s="36">
        <f t="shared" ref="L335:L352" si="48">K335+J335/$E$6*100</f>
        <v>104.99874397788101</v>
      </c>
      <c r="M335" s="35">
        <f t="shared" ref="M335:M352" si="49">K335*$E$6/100</f>
        <v>1996884.4685987162</v>
      </c>
      <c r="N335" s="35">
        <f t="shared" ref="N335:N352" si="50">L335*$E$6/100</f>
        <v>2099974.8795576198</v>
      </c>
    </row>
    <row r="336" spans="1:14" x14ac:dyDescent="0.15">
      <c r="A336" s="3">
        <f t="shared" ref="A336:A353" si="51">A335+1</f>
        <v>43067</v>
      </c>
      <c r="B336" s="6">
        <f>F335</f>
        <v>1996884.4685987162</v>
      </c>
      <c r="C336">
        <f t="shared" si="45"/>
        <v>252.05479452054792</v>
      </c>
      <c r="D336" s="6">
        <f>B336*$B$8</f>
        <v>435.00216512498417</v>
      </c>
      <c r="E336" s="6">
        <f>D336-C336</f>
        <v>182.94737060443626</v>
      </c>
      <c r="F336" s="6">
        <f>B336+E336</f>
        <v>1997067.4159693206</v>
      </c>
      <c r="G336" s="13">
        <f t="shared" si="46"/>
        <v>1997067.4159693206</v>
      </c>
      <c r="I336" s="37">
        <f t="shared" ref="I336:I352" si="52">I335+E336</f>
        <v>57067.415969322428</v>
      </c>
      <c r="J336" s="37">
        <f t="shared" ref="J336:J352" si="53">J335+C336</f>
        <v>103342.4657534244</v>
      </c>
      <c r="K336" s="36">
        <f t="shared" si="47"/>
        <v>99.853370798466017</v>
      </c>
      <c r="L336" s="36">
        <f t="shared" si="48"/>
        <v>105.02049408613723</v>
      </c>
      <c r="M336" s="35">
        <f t="shared" si="49"/>
        <v>1997067.4159693203</v>
      </c>
      <c r="N336" s="35">
        <f t="shared" si="50"/>
        <v>2100409.8817227446</v>
      </c>
    </row>
    <row r="337" spans="1:14" x14ac:dyDescent="0.15">
      <c r="A337" s="3">
        <f t="shared" si="51"/>
        <v>43068</v>
      </c>
      <c r="B337" s="6">
        <f>F336</f>
        <v>1997067.4159693206</v>
      </c>
      <c r="C337">
        <f t="shared" si="45"/>
        <v>252.05479452054792</v>
      </c>
      <c r="D337" s="6">
        <f>B337*$B$8</f>
        <v>435.04201845829829</v>
      </c>
      <c r="E337" s="6">
        <f>D337-C337</f>
        <v>182.98722393775037</v>
      </c>
      <c r="F337" s="6">
        <f>B337+E337</f>
        <v>1997250.4031932582</v>
      </c>
      <c r="G337" s="13">
        <f t="shared" si="46"/>
        <v>1997250.4031932582</v>
      </c>
      <c r="I337" s="37">
        <f t="shared" si="52"/>
        <v>57250.403193260179</v>
      </c>
      <c r="J337" s="37">
        <f t="shared" si="53"/>
        <v>103594.52054794495</v>
      </c>
      <c r="K337" s="36">
        <f t="shared" si="47"/>
        <v>99.862520159662921</v>
      </c>
      <c r="L337" s="36">
        <f t="shared" si="48"/>
        <v>105.04224618706017</v>
      </c>
      <c r="M337" s="35">
        <f t="shared" si="49"/>
        <v>1997250.4031932584</v>
      </c>
      <c r="N337" s="35">
        <f t="shared" si="50"/>
        <v>2100844.9237412037</v>
      </c>
    </row>
    <row r="338" spans="1:14" x14ac:dyDescent="0.15">
      <c r="A338" s="3">
        <f t="shared" si="51"/>
        <v>43069</v>
      </c>
      <c r="B338" s="6">
        <f>F337</f>
        <v>1997250.4031932582</v>
      </c>
      <c r="C338">
        <f t="shared" si="45"/>
        <v>252.05479452054792</v>
      </c>
      <c r="D338" s="6">
        <f>B338*$B$8</f>
        <v>435.08188047327951</v>
      </c>
      <c r="E338" s="6">
        <f>D338-C338</f>
        <v>183.0270859527316</v>
      </c>
      <c r="F338" s="6">
        <f>B338+E338</f>
        <v>1997433.4302792109</v>
      </c>
      <c r="G338" s="13">
        <f t="shared" si="46"/>
        <v>1997433.4302792109</v>
      </c>
      <c r="I338" s="37">
        <f t="shared" si="52"/>
        <v>57433.430279212909</v>
      </c>
      <c r="J338" s="37">
        <f t="shared" si="53"/>
        <v>103846.5753424655</v>
      </c>
      <c r="K338" s="36">
        <f t="shared" si="47"/>
        <v>99.87167151396055</v>
      </c>
      <c r="L338" s="36">
        <f t="shared" si="48"/>
        <v>105.06400028108382</v>
      </c>
      <c r="M338" s="35">
        <f t="shared" si="49"/>
        <v>1997433.4302792111</v>
      </c>
      <c r="N338" s="35">
        <f t="shared" si="50"/>
        <v>2101280.0056216763</v>
      </c>
    </row>
    <row r="339" spans="1:14" x14ac:dyDescent="0.15">
      <c r="A339" s="3">
        <f t="shared" si="51"/>
        <v>43070</v>
      </c>
      <c r="B339" s="6">
        <f>F338</f>
        <v>1997433.4302792109</v>
      </c>
      <c r="C339">
        <f t="shared" si="45"/>
        <v>252.05479452054792</v>
      </c>
      <c r="D339" s="6">
        <f>B339*$B$8</f>
        <v>435.12175117181914</v>
      </c>
      <c r="E339" s="6">
        <f>D339-C339</f>
        <v>183.06695665127123</v>
      </c>
      <c r="F339" s="6">
        <f>B339+E339</f>
        <v>1997616.4972358621</v>
      </c>
      <c r="G339" s="13">
        <f t="shared" si="46"/>
        <v>1997616.4972358621</v>
      </c>
      <c r="I339" s="37">
        <f t="shared" si="52"/>
        <v>57616.497235864183</v>
      </c>
      <c r="J339" s="37">
        <f t="shared" si="53"/>
        <v>104098.63013698604</v>
      </c>
      <c r="K339" s="36">
        <f t="shared" si="47"/>
        <v>99.880824861793101</v>
      </c>
      <c r="L339" s="36">
        <f t="shared" si="48"/>
        <v>105.08575636864241</v>
      </c>
      <c r="M339" s="35">
        <f t="shared" si="49"/>
        <v>1997616.4972358621</v>
      </c>
      <c r="N339" s="35">
        <f t="shared" si="50"/>
        <v>2101715.1273728479</v>
      </c>
    </row>
    <row r="340" spans="1:14" x14ac:dyDescent="0.15">
      <c r="A340" s="3">
        <f t="shared" si="51"/>
        <v>43071</v>
      </c>
      <c r="B340" s="6">
        <f>F339</f>
        <v>1997616.4972358621</v>
      </c>
      <c r="C340">
        <f t="shared" si="45"/>
        <v>252.05479452054792</v>
      </c>
      <c r="D340" s="6">
        <f>B340*$B$8</f>
        <v>435.16163055580876</v>
      </c>
      <c r="E340" s="6">
        <f>D340-C340</f>
        <v>183.10683603526084</v>
      </c>
      <c r="F340" s="6">
        <f>B340+E340</f>
        <v>1997799.6040718972</v>
      </c>
      <c r="G340" s="13">
        <f t="shared" si="46"/>
        <v>1997799.6040718972</v>
      </c>
      <c r="I340" s="37">
        <f t="shared" si="52"/>
        <v>57799.604071899441</v>
      </c>
      <c r="J340" s="37">
        <f t="shared" si="53"/>
        <v>104350.68493150659</v>
      </c>
      <c r="K340" s="36">
        <f t="shared" si="47"/>
        <v>99.88998020359486</v>
      </c>
      <c r="L340" s="36">
        <f t="shared" si="48"/>
        <v>105.10751445017019</v>
      </c>
      <c r="M340" s="35">
        <f t="shared" si="49"/>
        <v>1997799.6040718972</v>
      </c>
      <c r="N340" s="35">
        <f t="shared" si="50"/>
        <v>2102150.2890034039</v>
      </c>
    </row>
    <row r="341" spans="1:14" x14ac:dyDescent="0.15">
      <c r="A341" s="3">
        <f t="shared" si="51"/>
        <v>43072</v>
      </c>
      <c r="B341" s="6">
        <f>F340</f>
        <v>1997799.6040718972</v>
      </c>
      <c r="C341">
        <f t="shared" si="45"/>
        <v>252.05479452054792</v>
      </c>
      <c r="D341" s="6">
        <f>B341*$B$8</f>
        <v>435.20151862714039</v>
      </c>
      <c r="E341" s="6">
        <f>D341-C341</f>
        <v>183.14672410659247</v>
      </c>
      <c r="F341" s="6">
        <f>B341+E341</f>
        <v>1997982.7507960037</v>
      </c>
      <c r="G341" s="13">
        <f t="shared" si="46"/>
        <v>1997982.7507960037</v>
      </c>
      <c r="I341" s="37">
        <f t="shared" si="52"/>
        <v>57982.750796006032</v>
      </c>
      <c r="J341" s="37">
        <f t="shared" si="53"/>
        <v>104602.73972602714</v>
      </c>
      <c r="K341" s="36">
        <f t="shared" si="47"/>
        <v>99.899137539800194</v>
      </c>
      <c r="L341" s="36">
        <f t="shared" si="48"/>
        <v>105.12927452610155</v>
      </c>
      <c r="M341" s="35">
        <f t="shared" si="49"/>
        <v>1997982.750796004</v>
      </c>
      <c r="N341" s="35">
        <f t="shared" si="50"/>
        <v>2102585.4905220312</v>
      </c>
    </row>
    <row r="342" spans="1:14" x14ac:dyDescent="0.15">
      <c r="A342" s="3">
        <f t="shared" si="51"/>
        <v>43073</v>
      </c>
      <c r="B342" s="6">
        <f>F341</f>
        <v>1997982.7507960037</v>
      </c>
      <c r="C342">
        <f t="shared" si="45"/>
        <v>252.05479452054792</v>
      </c>
      <c r="D342" s="6">
        <f>B342*$B$8</f>
        <v>435.24141538770647</v>
      </c>
      <c r="E342" s="6">
        <f>D342-C342</f>
        <v>183.18662086715855</v>
      </c>
      <c r="F342" s="6">
        <f>B342+E342</f>
        <v>1998165.9374168708</v>
      </c>
      <c r="G342" s="13">
        <f t="shared" si="46"/>
        <v>1998165.9374168708</v>
      </c>
      <c r="I342" s="37">
        <f t="shared" si="52"/>
        <v>58165.937416873188</v>
      </c>
      <c r="J342" s="37">
        <f t="shared" si="53"/>
        <v>104854.79452054769</v>
      </c>
      <c r="K342" s="36">
        <f t="shared" si="47"/>
        <v>99.908296870843543</v>
      </c>
      <c r="L342" s="36">
        <f t="shared" si="48"/>
        <v>105.15103659687092</v>
      </c>
      <c r="M342" s="35">
        <f t="shared" si="49"/>
        <v>1998165.9374168708</v>
      </c>
      <c r="N342" s="35">
        <f t="shared" si="50"/>
        <v>2103020.7319374187</v>
      </c>
    </row>
    <row r="343" spans="1:14" x14ac:dyDescent="0.15">
      <c r="A343" s="3">
        <f t="shared" si="51"/>
        <v>43074</v>
      </c>
      <c r="B343" s="6">
        <f>F342</f>
        <v>1998165.9374168708</v>
      </c>
      <c r="C343">
        <f t="shared" si="45"/>
        <v>252.05479452054792</v>
      </c>
      <c r="D343" s="6">
        <f>B343*$B$8</f>
        <v>435.28132083939994</v>
      </c>
      <c r="E343" s="6">
        <f>D343-C343</f>
        <v>183.22652631885202</v>
      </c>
      <c r="F343" s="6">
        <f>B343+E343</f>
        <v>1998349.1639431897</v>
      </c>
      <c r="G343" s="13">
        <f t="shared" si="46"/>
        <v>1998349.1639431897</v>
      </c>
      <c r="I343" s="37">
        <f t="shared" si="52"/>
        <v>58349.163943192041</v>
      </c>
      <c r="J343" s="37">
        <f t="shared" si="53"/>
        <v>105106.84931506823</v>
      </c>
      <c r="K343" s="36">
        <f t="shared" si="47"/>
        <v>99.917458197159476</v>
      </c>
      <c r="L343" s="36">
        <f t="shared" si="48"/>
        <v>105.17280066291289</v>
      </c>
      <c r="M343" s="35">
        <f t="shared" si="49"/>
        <v>1998349.1639431894</v>
      </c>
      <c r="N343" s="35">
        <f t="shared" si="50"/>
        <v>2103456.0132582579</v>
      </c>
    </row>
    <row r="344" spans="1:14" x14ac:dyDescent="0.15">
      <c r="A344" s="3">
        <f t="shared" si="51"/>
        <v>43075</v>
      </c>
      <c r="B344" s="6">
        <f>F343</f>
        <v>1998349.1639431897</v>
      </c>
      <c r="C344">
        <f t="shared" si="45"/>
        <v>252.05479452054792</v>
      </c>
      <c r="D344" s="6">
        <f>B344*$B$8</f>
        <v>435.32123498411408</v>
      </c>
      <c r="E344" s="6">
        <f>D344-C344</f>
        <v>183.26644046356617</v>
      </c>
      <c r="F344" s="6">
        <f>B344+E344</f>
        <v>1998532.4303836531</v>
      </c>
      <c r="G344" s="13">
        <f t="shared" si="46"/>
        <v>1998532.4303836531</v>
      </c>
      <c r="I344" s="37">
        <f t="shared" si="52"/>
        <v>58532.430383655606</v>
      </c>
      <c r="J344" s="37">
        <f t="shared" si="53"/>
        <v>105358.90410958878</v>
      </c>
      <c r="K344" s="36">
        <f t="shared" si="47"/>
        <v>99.92662151918266</v>
      </c>
      <c r="L344" s="36">
        <f t="shared" si="48"/>
        <v>105.1945667246621</v>
      </c>
      <c r="M344" s="35">
        <f t="shared" si="49"/>
        <v>1998532.4303836534</v>
      </c>
      <c r="N344" s="35">
        <f t="shared" si="50"/>
        <v>2103891.3344932417</v>
      </c>
    </row>
    <row r="345" spans="1:14" x14ac:dyDescent="0.15">
      <c r="A345" s="3">
        <f t="shared" si="51"/>
        <v>43076</v>
      </c>
      <c r="B345" s="6">
        <f>F344</f>
        <v>1998532.4303836531</v>
      </c>
      <c r="C345">
        <f t="shared" si="45"/>
        <v>252.05479452054792</v>
      </c>
      <c r="D345" s="6">
        <f>B345*$B$8</f>
        <v>435.36115782374247</v>
      </c>
      <c r="E345" s="6">
        <f>D345-C345</f>
        <v>183.30636330319456</v>
      </c>
      <c r="F345" s="6">
        <f>B345+E345</f>
        <v>1998715.7367469564</v>
      </c>
      <c r="G345" s="13">
        <f t="shared" si="46"/>
        <v>1998715.7367469564</v>
      </c>
      <c r="I345" s="37">
        <f t="shared" si="52"/>
        <v>58715.736746958799</v>
      </c>
      <c r="J345" s="37">
        <f t="shared" si="53"/>
        <v>105610.95890410933</v>
      </c>
      <c r="K345" s="36">
        <f t="shared" si="47"/>
        <v>99.93578683734782</v>
      </c>
      <c r="L345" s="36">
        <f t="shared" si="48"/>
        <v>105.21633478255329</v>
      </c>
      <c r="M345" s="35">
        <f t="shared" si="49"/>
        <v>1998715.7367469564</v>
      </c>
      <c r="N345" s="35">
        <f t="shared" si="50"/>
        <v>2104326.6956510656</v>
      </c>
    </row>
    <row r="346" spans="1:14" x14ac:dyDescent="0.15">
      <c r="A346" s="3">
        <f t="shared" si="51"/>
        <v>43077</v>
      </c>
      <c r="B346" s="6">
        <f>F345</f>
        <v>1998715.7367469564</v>
      </c>
      <c r="C346">
        <f t="shared" si="45"/>
        <v>252.05479452054792</v>
      </c>
      <c r="D346" s="6">
        <f>B346*$B$8</f>
        <v>435.40108936017936</v>
      </c>
      <c r="E346" s="6">
        <f>D346-C346</f>
        <v>183.34629483963144</v>
      </c>
      <c r="F346" s="6">
        <f>B346+E346</f>
        <v>1998899.083041796</v>
      </c>
      <c r="G346" s="13">
        <f t="shared" si="46"/>
        <v>1998899.083041796</v>
      </c>
      <c r="I346" s="37">
        <f t="shared" si="52"/>
        <v>58899.083041798433</v>
      </c>
      <c r="J346" s="37">
        <f t="shared" si="53"/>
        <v>105863.01369862987</v>
      </c>
      <c r="K346" s="36">
        <f t="shared" si="47"/>
        <v>99.944954152089807</v>
      </c>
      <c r="L346" s="36">
        <f t="shared" si="48"/>
        <v>105.2381048370213</v>
      </c>
      <c r="M346" s="35">
        <f t="shared" si="49"/>
        <v>1998899.083041796</v>
      </c>
      <c r="N346" s="35">
        <f t="shared" si="50"/>
        <v>2104762.096740426</v>
      </c>
    </row>
    <row r="347" spans="1:14" x14ac:dyDescent="0.15">
      <c r="A347" s="3">
        <f t="shared" si="51"/>
        <v>43078</v>
      </c>
      <c r="B347" s="6">
        <f>F346</f>
        <v>1998899.083041796</v>
      </c>
      <c r="C347">
        <f t="shared" si="45"/>
        <v>252.05479452054792</v>
      </c>
      <c r="D347" s="6">
        <f>B347*$B$8</f>
        <v>435.44102959531921</v>
      </c>
      <c r="E347" s="6">
        <f>D347-C347</f>
        <v>183.38623507477129</v>
      </c>
      <c r="F347" s="6">
        <f>B347+E347</f>
        <v>1999082.4692768708</v>
      </c>
      <c r="G347" s="13">
        <f t="shared" si="46"/>
        <v>1999082.4692768706</v>
      </c>
      <c r="I347" s="37">
        <f t="shared" si="52"/>
        <v>59082.469276873206</v>
      </c>
      <c r="J347" s="37">
        <f t="shared" si="53"/>
        <v>106115.06849315042</v>
      </c>
      <c r="K347" s="36">
        <f t="shared" si="47"/>
        <v>99.95412346384353</v>
      </c>
      <c r="L347" s="36">
        <f t="shared" si="48"/>
        <v>105.25987688850105</v>
      </c>
      <c r="M347" s="35">
        <f t="shared" si="49"/>
        <v>1999082.4692768706</v>
      </c>
      <c r="N347" s="35">
        <f t="shared" si="50"/>
        <v>2105197.5377700208</v>
      </c>
    </row>
    <row r="348" spans="1:14" x14ac:dyDescent="0.15">
      <c r="A348" s="3">
        <f t="shared" si="51"/>
        <v>43079</v>
      </c>
      <c r="B348" s="6">
        <f>F347</f>
        <v>1999082.4692768708</v>
      </c>
      <c r="C348">
        <f t="shared" si="45"/>
        <v>252.05479452054792</v>
      </c>
      <c r="D348" s="6">
        <f>B348*$B$8</f>
        <v>435.48097853105691</v>
      </c>
      <c r="E348" s="6">
        <f>D348-C348</f>
        <v>183.42618401050899</v>
      </c>
      <c r="F348" s="6">
        <f>B348+E348</f>
        <v>1999265.8954608813</v>
      </c>
      <c r="G348" s="13">
        <f t="shared" si="46"/>
        <v>1999265.8954608813</v>
      </c>
      <c r="I348" s="37">
        <f t="shared" si="52"/>
        <v>59265.895460883716</v>
      </c>
      <c r="J348" s="37">
        <f t="shared" si="53"/>
        <v>106367.12328767097</v>
      </c>
      <c r="K348" s="36">
        <f t="shared" si="47"/>
        <v>99.963294773044069</v>
      </c>
      <c r="L348" s="36">
        <f t="shared" si="48"/>
        <v>105.28165093742761</v>
      </c>
      <c r="M348" s="35">
        <f t="shared" si="49"/>
        <v>1999265.8954608813</v>
      </c>
      <c r="N348" s="35">
        <f t="shared" si="50"/>
        <v>2105633.0187485521</v>
      </c>
    </row>
    <row r="349" spans="1:14" x14ac:dyDescent="0.15">
      <c r="A349" s="3">
        <f t="shared" si="51"/>
        <v>43080</v>
      </c>
      <c r="B349" s="6">
        <f>F348</f>
        <v>1999265.8954608813</v>
      </c>
      <c r="C349">
        <f t="shared" si="45"/>
        <v>252.05479452054792</v>
      </c>
      <c r="D349" s="6">
        <f>B349*$B$8</f>
        <v>435.52093616928778</v>
      </c>
      <c r="E349" s="6">
        <f>D349-C349</f>
        <v>183.46614164873986</v>
      </c>
      <c r="F349" s="6">
        <f>B349+E349</f>
        <v>1999449.3616025301</v>
      </c>
      <c r="G349" s="13">
        <f t="shared" si="46"/>
        <v>1999449.3616025299</v>
      </c>
      <c r="I349" s="37">
        <f t="shared" si="52"/>
        <v>59449.361602532459</v>
      </c>
      <c r="J349" s="37">
        <f t="shared" si="53"/>
        <v>106619.17808219152</v>
      </c>
      <c r="K349" s="36">
        <f t="shared" si="47"/>
        <v>99.972468080126504</v>
      </c>
      <c r="L349" s="36">
        <f t="shared" si="48"/>
        <v>105.30342698423608</v>
      </c>
      <c r="M349" s="35">
        <f t="shared" si="49"/>
        <v>1999449.3616025301</v>
      </c>
      <c r="N349" s="35">
        <f t="shared" si="50"/>
        <v>2106068.5396847217</v>
      </c>
    </row>
    <row r="350" spans="1:14" x14ac:dyDescent="0.15">
      <c r="A350" s="3">
        <f t="shared" si="51"/>
        <v>43081</v>
      </c>
      <c r="B350" s="6">
        <f>F349</f>
        <v>1999449.3616025301</v>
      </c>
      <c r="C350">
        <f t="shared" si="45"/>
        <v>252.05479452054792</v>
      </c>
      <c r="D350" s="6">
        <f>B350*$B$8</f>
        <v>435.56090251190767</v>
      </c>
      <c r="E350" s="6">
        <f>D350-C350</f>
        <v>183.50610799135976</v>
      </c>
      <c r="F350" s="6">
        <f>B350+E350</f>
        <v>1999632.8677105214</v>
      </c>
      <c r="G350" s="13">
        <f t="shared" si="46"/>
        <v>1999632.8677105214</v>
      </c>
      <c r="I350" s="37">
        <f t="shared" si="52"/>
        <v>59632.867710523817</v>
      </c>
      <c r="J350" s="37">
        <f t="shared" si="53"/>
        <v>106871.23287671206</v>
      </c>
      <c r="K350" s="36">
        <f t="shared" si="47"/>
        <v>99.98164338552607</v>
      </c>
      <c r="L350" s="36">
        <f t="shared" si="48"/>
        <v>105.32520502936167</v>
      </c>
      <c r="M350" s="35">
        <f t="shared" si="49"/>
        <v>1999632.8677105214</v>
      </c>
      <c r="N350" s="35">
        <f t="shared" si="50"/>
        <v>2106504.1005872334</v>
      </c>
    </row>
    <row r="351" spans="1:14" x14ac:dyDescent="0.15">
      <c r="A351" s="3">
        <f t="shared" si="51"/>
        <v>43082</v>
      </c>
      <c r="B351" s="6">
        <f>F350</f>
        <v>1999632.8677105214</v>
      </c>
      <c r="C351">
        <f t="shared" si="45"/>
        <v>252.05479452054792</v>
      </c>
      <c r="D351" s="6">
        <f>B351*$B$8</f>
        <v>435.60087756081271</v>
      </c>
      <c r="E351" s="6">
        <f>D351-C351</f>
        <v>183.54608304026479</v>
      </c>
      <c r="F351" s="6">
        <f>B351+E351</f>
        <v>1999816.4137935617</v>
      </c>
      <c r="G351" s="13">
        <f t="shared" si="46"/>
        <v>1999816.4137935617</v>
      </c>
      <c r="I351" s="37">
        <f t="shared" si="52"/>
        <v>59816.413793564083</v>
      </c>
      <c r="J351" s="37">
        <f t="shared" si="53"/>
        <v>107123.28767123261</v>
      </c>
      <c r="K351" s="36">
        <f t="shared" si="47"/>
        <v>99.990820689678088</v>
      </c>
      <c r="L351" s="36">
        <f t="shared" si="48"/>
        <v>105.34698507323972</v>
      </c>
      <c r="M351" s="35">
        <f t="shared" si="49"/>
        <v>1999816.4137935617</v>
      </c>
      <c r="N351" s="35">
        <f t="shared" si="50"/>
        <v>2106939.7014647946</v>
      </c>
    </row>
    <row r="352" spans="1:14" x14ac:dyDescent="0.15">
      <c r="A352" s="3">
        <f t="shared" si="51"/>
        <v>43083</v>
      </c>
      <c r="B352" s="6">
        <f>F351</f>
        <v>1999816.4137935617</v>
      </c>
      <c r="C352">
        <f t="shared" si="45"/>
        <v>252.05479452054792</v>
      </c>
      <c r="D352" s="6">
        <f>B352*$B$8</f>
        <v>435.64086131789946</v>
      </c>
      <c r="E352" s="6">
        <f>D352-C352</f>
        <v>183.58606679735155</v>
      </c>
      <c r="F352" s="6">
        <f>B352+E352</f>
        <v>1999999.9998603591</v>
      </c>
      <c r="G352" s="13">
        <f t="shared" si="46"/>
        <v>1999999.9998603591</v>
      </c>
      <c r="I352" s="37">
        <f t="shared" si="52"/>
        <v>59999.999860361437</v>
      </c>
      <c r="J352" s="37">
        <f t="shared" si="53"/>
        <v>107375.34246575316</v>
      </c>
      <c r="K352" s="36">
        <f t="shared" si="47"/>
        <v>99.999999993017951</v>
      </c>
      <c r="L352" s="36">
        <f t="shared" si="48"/>
        <v>105.36876711630561</v>
      </c>
      <c r="M352" s="35">
        <f t="shared" si="49"/>
        <v>1999999.9998603591</v>
      </c>
      <c r="N352" s="35">
        <f t="shared" si="50"/>
        <v>2107375.3423261121</v>
      </c>
    </row>
    <row r="353" spans="1:7" x14ac:dyDescent="0.15">
      <c r="A353" s="3">
        <f t="shared" si="51"/>
        <v>43084</v>
      </c>
      <c r="B353" s="6">
        <f>F352</f>
        <v>1999999.9998603591</v>
      </c>
      <c r="G353" s="13"/>
    </row>
  </sheetData>
  <dataConsolidate/>
  <mergeCells count="2">
    <mergeCell ref="A12:E12"/>
    <mergeCell ref="I2:L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est002">
          <controlPr autoLine="0" r:id="rId5">
            <anchor moveWithCells="1">
              <from>
                <xdr:col>8</xdr:col>
                <xdr:colOff>114300</xdr:colOff>
                <xdr:row>5</xdr:row>
                <xdr:rowOff>152400</xdr:rowOff>
              </from>
              <to>
                <xdr:col>9</xdr:col>
                <xdr:colOff>247650</xdr:colOff>
                <xdr:row>8</xdr:row>
                <xdr:rowOff>66675</xdr:rowOff>
              </to>
            </anchor>
          </controlPr>
        </control>
      </mc:Choice>
      <mc:Fallback>
        <control shapeId="3073" r:id="rId4" name="test002"/>
      </mc:Fallback>
    </mc:AlternateContent>
    <mc:AlternateContent xmlns:mc="http://schemas.openxmlformats.org/markup-compatibility/2006">
      <mc:Choice Requires="x14">
        <control shapeId="3074" r:id="rId6" name="Button 2">
          <controlPr defaultSize="0" print="0" autoFill="0" autoPict="0" macro="[0]!清屏">
            <anchor moveWithCells="1" sizeWithCells="1">
              <from>
                <xdr:col>9</xdr:col>
                <xdr:colOff>781050</xdr:colOff>
                <xdr:row>6</xdr:row>
                <xdr:rowOff>19050</xdr:rowOff>
              </from>
              <to>
                <xdr:col>10</xdr:col>
                <xdr:colOff>238125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"/>
  <sheetViews>
    <sheetView workbookViewId="0">
      <selection activeCell="D18" sqref="D18"/>
    </sheetView>
  </sheetViews>
  <sheetFormatPr defaultRowHeight="13.5" x14ac:dyDescent="0.15"/>
  <cols>
    <col min="4" max="4" width="24.5" customWidth="1"/>
    <col min="6" max="6" width="9.5" bestFit="1" customWidth="1"/>
    <col min="11" max="11" width="19.75" customWidth="1"/>
  </cols>
  <sheetData>
    <row r="1" spans="1:13" x14ac:dyDescent="0.15">
      <c r="E1" t="s">
        <v>26</v>
      </c>
      <c r="F1" s="14">
        <v>42736</v>
      </c>
    </row>
    <row r="2" spans="1:13" x14ac:dyDescent="0.15">
      <c r="E2" t="s">
        <v>23</v>
      </c>
      <c r="F2">
        <v>1000000</v>
      </c>
    </row>
    <row r="3" spans="1:13" x14ac:dyDescent="0.15">
      <c r="E3" t="s">
        <v>24</v>
      </c>
      <c r="F3">
        <v>99</v>
      </c>
    </row>
    <row r="4" spans="1:13" x14ac:dyDescent="0.15">
      <c r="E4" t="s">
        <v>25</v>
      </c>
      <c r="F4">
        <v>1</v>
      </c>
    </row>
    <row r="8" spans="1:13" x14ac:dyDescent="0.15">
      <c r="B8" s="28" t="s">
        <v>18</v>
      </c>
      <c r="C8" s="28"/>
      <c r="D8" s="28"/>
      <c r="E8" s="28"/>
      <c r="F8" s="28"/>
      <c r="I8" s="28" t="s">
        <v>19</v>
      </c>
      <c r="J8" s="28"/>
      <c r="K8" s="28"/>
      <c r="L8" s="28"/>
      <c r="M8" s="28"/>
    </row>
    <row r="9" spans="1:13" ht="18" customHeight="1" x14ac:dyDescent="0.15">
      <c r="B9" t="s">
        <v>33</v>
      </c>
      <c r="C9" s="1" t="s">
        <v>20</v>
      </c>
      <c r="D9" s="1" t="s">
        <v>21</v>
      </c>
      <c r="E9" s="1" t="s">
        <v>22</v>
      </c>
      <c r="F9" s="1"/>
      <c r="I9" t="s">
        <v>33</v>
      </c>
      <c r="J9" s="1" t="s">
        <v>20</v>
      </c>
      <c r="K9" s="1" t="s">
        <v>21</v>
      </c>
      <c r="L9" s="1" t="s">
        <v>22</v>
      </c>
      <c r="M9" s="1"/>
    </row>
    <row r="10" spans="1:13" x14ac:dyDescent="0.15">
      <c r="A10" s="27">
        <v>42736</v>
      </c>
      <c r="B10" s="27" t="s">
        <v>34</v>
      </c>
      <c r="C10" t="s">
        <v>27</v>
      </c>
      <c r="D10" t="s">
        <v>29</v>
      </c>
      <c r="E10">
        <v>1000000</v>
      </c>
      <c r="H10" s="27">
        <v>42736</v>
      </c>
      <c r="I10" s="27" t="s">
        <v>34</v>
      </c>
      <c r="J10" t="s">
        <v>27</v>
      </c>
      <c r="K10" t="s">
        <v>29</v>
      </c>
      <c r="L10">
        <v>1000000</v>
      </c>
    </row>
    <row r="11" spans="1:13" x14ac:dyDescent="0.15">
      <c r="A11" s="27"/>
      <c r="B11" s="27"/>
      <c r="C11" t="s">
        <v>28</v>
      </c>
      <c r="D11" t="s">
        <v>35</v>
      </c>
      <c r="E11">
        <v>10000</v>
      </c>
      <c r="H11" s="27"/>
      <c r="I11" s="27"/>
      <c r="J11" t="s">
        <v>28</v>
      </c>
      <c r="K11" t="s">
        <v>35</v>
      </c>
      <c r="L11">
        <v>10000</v>
      </c>
    </row>
    <row r="12" spans="1:13" x14ac:dyDescent="0.15">
      <c r="A12" s="27"/>
      <c r="B12" s="27"/>
      <c r="C12" t="s">
        <v>28</v>
      </c>
      <c r="D12" t="s">
        <v>38</v>
      </c>
      <c r="E12">
        <v>990000</v>
      </c>
      <c r="H12" s="27"/>
      <c r="I12" s="27"/>
      <c r="J12" t="s">
        <v>28</v>
      </c>
      <c r="K12" t="s">
        <v>38</v>
      </c>
      <c r="L12">
        <v>990000</v>
      </c>
    </row>
    <row r="13" spans="1:13" x14ac:dyDescent="0.15">
      <c r="A13" s="27">
        <v>42737</v>
      </c>
      <c r="B13" s="29" t="s">
        <v>32</v>
      </c>
      <c r="C13" t="s">
        <v>31</v>
      </c>
      <c r="D13" t="s">
        <v>36</v>
      </c>
      <c r="E13">
        <v>-10000</v>
      </c>
      <c r="H13" s="27">
        <v>42737</v>
      </c>
      <c r="I13" s="27" t="s">
        <v>44</v>
      </c>
      <c r="J13" t="s">
        <v>27</v>
      </c>
      <c r="K13" t="s">
        <v>35</v>
      </c>
      <c r="L13">
        <v>1</v>
      </c>
    </row>
    <row r="14" spans="1:13" x14ac:dyDescent="0.15">
      <c r="A14" s="27"/>
      <c r="B14" s="29"/>
      <c r="C14" t="s">
        <v>28</v>
      </c>
      <c r="D14" t="s">
        <v>35</v>
      </c>
      <c r="E14">
        <v>-10000</v>
      </c>
      <c r="H14" s="27"/>
      <c r="I14" s="27"/>
      <c r="J14" t="s">
        <v>30</v>
      </c>
      <c r="K14" t="s">
        <v>43</v>
      </c>
      <c r="L14">
        <v>1</v>
      </c>
    </row>
    <row r="15" spans="1:13" x14ac:dyDescent="0.15">
      <c r="A15" s="27"/>
      <c r="B15" s="29" t="s">
        <v>37</v>
      </c>
      <c r="C15" t="s">
        <v>27</v>
      </c>
      <c r="D15" t="s">
        <v>36</v>
      </c>
      <c r="E15">
        <v>9999</v>
      </c>
      <c r="H15" s="27"/>
      <c r="I15" s="27"/>
    </row>
    <row r="16" spans="1:13" x14ac:dyDescent="0.15">
      <c r="A16" s="27"/>
      <c r="B16" s="29"/>
      <c r="C16" t="s">
        <v>28</v>
      </c>
      <c r="D16" t="s">
        <v>35</v>
      </c>
      <c r="E16">
        <v>9999</v>
      </c>
      <c r="H16" s="27">
        <v>42738</v>
      </c>
      <c r="I16" s="27" t="s">
        <v>44</v>
      </c>
      <c r="J16" t="s">
        <v>27</v>
      </c>
      <c r="K16" t="s">
        <v>35</v>
      </c>
      <c r="L16">
        <v>1</v>
      </c>
    </row>
    <row r="17" spans="1:12" x14ac:dyDescent="0.15">
      <c r="A17" s="27">
        <v>42738</v>
      </c>
      <c r="B17" s="29" t="s">
        <v>32</v>
      </c>
      <c r="C17" t="s">
        <v>31</v>
      </c>
      <c r="D17" t="s">
        <v>36</v>
      </c>
      <c r="E17">
        <v>-9999</v>
      </c>
      <c r="H17" s="27"/>
      <c r="I17" s="27"/>
      <c r="J17" t="s">
        <v>30</v>
      </c>
      <c r="K17" t="s">
        <v>43</v>
      </c>
      <c r="L17">
        <v>1</v>
      </c>
    </row>
    <row r="18" spans="1:12" x14ac:dyDescent="0.15">
      <c r="A18" s="27"/>
      <c r="B18" s="29"/>
      <c r="C18" t="s">
        <v>28</v>
      </c>
      <c r="D18" t="s">
        <v>35</v>
      </c>
      <c r="E18">
        <v>-9999</v>
      </c>
      <c r="H18" s="27"/>
      <c r="I18" s="27"/>
    </row>
    <row r="19" spans="1:12" x14ac:dyDescent="0.15">
      <c r="A19" s="27"/>
      <c r="B19" s="29" t="s">
        <v>37</v>
      </c>
      <c r="C19" t="s">
        <v>27</v>
      </c>
      <c r="D19" t="s">
        <v>36</v>
      </c>
      <c r="E19">
        <v>9998</v>
      </c>
      <c r="H19" s="27">
        <v>42739</v>
      </c>
      <c r="I19" s="29" t="s">
        <v>17</v>
      </c>
      <c r="J19" t="s">
        <v>27</v>
      </c>
      <c r="K19" t="s">
        <v>39</v>
      </c>
      <c r="L19">
        <v>500100</v>
      </c>
    </row>
    <row r="20" spans="1:12" x14ac:dyDescent="0.15">
      <c r="A20" s="27"/>
      <c r="B20" s="29"/>
      <c r="C20" t="s">
        <v>28</v>
      </c>
      <c r="D20" t="s">
        <v>35</v>
      </c>
      <c r="E20">
        <v>9998</v>
      </c>
      <c r="H20" s="27"/>
      <c r="I20" s="29"/>
      <c r="J20" t="s">
        <v>27</v>
      </c>
      <c r="K20" t="s">
        <v>35</v>
      </c>
      <c r="L20">
        <f>(L11-L13-L16)/2</f>
        <v>4999</v>
      </c>
    </row>
    <row r="21" spans="1:12" x14ac:dyDescent="0.15">
      <c r="A21" s="27">
        <v>42739</v>
      </c>
      <c r="B21" s="29" t="s">
        <v>17</v>
      </c>
      <c r="C21" t="s">
        <v>27</v>
      </c>
      <c r="D21" t="s">
        <v>39</v>
      </c>
      <c r="E21">
        <v>500100</v>
      </c>
      <c r="H21" s="27"/>
      <c r="I21" s="29"/>
    </row>
    <row r="22" spans="1:12" x14ac:dyDescent="0.15">
      <c r="A22" s="27"/>
      <c r="B22" s="29"/>
      <c r="C22" t="s">
        <v>27</v>
      </c>
      <c r="D22" t="s">
        <v>41</v>
      </c>
      <c r="E22">
        <f>E20/2</f>
        <v>4999</v>
      </c>
      <c r="H22" s="27"/>
      <c r="I22" s="29"/>
      <c r="J22" t="s">
        <v>30</v>
      </c>
      <c r="K22" t="s">
        <v>40</v>
      </c>
      <c r="L22">
        <v>500000</v>
      </c>
    </row>
    <row r="23" spans="1:12" x14ac:dyDescent="0.15">
      <c r="A23" s="27"/>
      <c r="B23" s="29"/>
      <c r="C23" t="s">
        <v>30</v>
      </c>
      <c r="D23" t="s">
        <v>40</v>
      </c>
      <c r="E23">
        <v>500000</v>
      </c>
      <c r="H23" s="27"/>
      <c r="J23" t="s">
        <v>28</v>
      </c>
      <c r="K23" t="s">
        <v>42</v>
      </c>
      <c r="L23">
        <f>L19+L20-L22</f>
        <v>5099</v>
      </c>
    </row>
    <row r="24" spans="1:12" x14ac:dyDescent="0.15">
      <c r="A24" s="27"/>
      <c r="B24" s="29"/>
      <c r="C24" t="s">
        <v>28</v>
      </c>
      <c r="D24" t="s">
        <v>42</v>
      </c>
      <c r="E24">
        <v>5099</v>
      </c>
    </row>
    <row r="25" spans="1:12" x14ac:dyDescent="0.15">
      <c r="A25" s="27"/>
    </row>
  </sheetData>
  <mergeCells count="20">
    <mergeCell ref="I8:M8"/>
    <mergeCell ref="I10:I12"/>
    <mergeCell ref="I13:I15"/>
    <mergeCell ref="I16:I18"/>
    <mergeCell ref="H19:H23"/>
    <mergeCell ref="I19:I22"/>
    <mergeCell ref="A10:A12"/>
    <mergeCell ref="H10:H12"/>
    <mergeCell ref="B8:F8"/>
    <mergeCell ref="B10:B12"/>
    <mergeCell ref="A21:A25"/>
    <mergeCell ref="B21:B24"/>
    <mergeCell ref="H13:H15"/>
    <mergeCell ref="H16:H18"/>
    <mergeCell ref="B13:B14"/>
    <mergeCell ref="B15:B16"/>
    <mergeCell ref="A13:A16"/>
    <mergeCell ref="A17:A20"/>
    <mergeCell ref="B17:B18"/>
    <mergeCell ref="B19:B20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M11" sqref="M11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HUB</cp:lastModifiedBy>
  <dcterms:created xsi:type="dcterms:W3CDTF">2014-12-23T05:27:34Z</dcterms:created>
  <dcterms:modified xsi:type="dcterms:W3CDTF">2017-12-22T10:16:18Z</dcterms:modified>
</cp:coreProperties>
</file>